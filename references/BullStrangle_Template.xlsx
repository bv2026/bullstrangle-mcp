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bullstrangle-mcp\osamurai\"/>
    </mc:Choice>
  </mc:AlternateContent>
  <xr:revisionPtr revIDLastSave="0" documentId="13_ncr:1_{03DDE628-E5F5-4BE3-93BF-9F377F6C41F1}" xr6:coauthVersionLast="47" xr6:coauthVersionMax="47" xr10:uidLastSave="{00000000-0000-0000-0000-000000000000}"/>
  <bookViews>
    <workbookView xWindow="15585" yWindow="0" windowWidth="33375" windowHeight="20880" tabRatio="500" xr2:uid="{00000000-000D-0000-FFFF-FFFF00000000}"/>
  </bookViews>
  <sheets>
    <sheet name="Bull Strangle - Option Samurai" sheetId="1" r:id="rId1"/>
    <sheet name="Bull Strangle - News Letter" sheetId="2" r:id="rId2"/>
    <sheet name="Bull Strangle - Deviations" sheetId="5" r:id="rId3"/>
    <sheet name="Instructions" sheetId="6" r:id="rId4"/>
    <sheet name="Formula Reference" sheetId="7" r:id="rId5"/>
  </sheets>
  <definedNames>
    <definedName name="_xlnm._FilterDatabase" localSheetId="4" hidden="1">'Formula Reference'!$A$5:$N$25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7" l="1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AU25" i="1"/>
  <c r="AT25" i="1"/>
  <c r="AS25" i="1"/>
  <c r="AN25" i="1"/>
  <c r="AM25" i="1"/>
  <c r="AP25" i="1" s="1"/>
  <c r="AL25" i="1"/>
  <c r="AO25" i="1" s="1"/>
  <c r="AH25" i="1"/>
  <c r="AG25" i="1"/>
  <c r="AF25" i="1"/>
  <c r="AE25" i="1"/>
  <c r="X25" i="1"/>
  <c r="W25" i="1"/>
  <c r="Y25" i="1" s="1"/>
  <c r="V25" i="1"/>
  <c r="T25" i="5" s="1"/>
  <c r="T25" i="1"/>
  <c r="S25" i="1"/>
  <c r="Q25" i="1"/>
  <c r="P25" i="1"/>
  <c r="M25" i="1"/>
  <c r="R25" i="5" s="1"/>
  <c r="L25" i="1"/>
  <c r="K25" i="1"/>
  <c r="J25" i="1"/>
  <c r="I25" i="1"/>
  <c r="H25" i="1"/>
  <c r="G25" i="1"/>
  <c r="F25" i="1"/>
  <c r="E25" i="1"/>
  <c r="D25" i="1"/>
  <c r="C25" i="1"/>
  <c r="B25" i="1"/>
  <c r="AU24" i="1"/>
  <c r="AT24" i="1"/>
  <c r="AS24" i="1"/>
  <c r="AN24" i="1"/>
  <c r="AM24" i="1"/>
  <c r="AP24" i="1" s="1"/>
  <c r="AL24" i="1"/>
  <c r="AO24" i="1" s="1"/>
  <c r="AH24" i="1"/>
  <c r="AG24" i="1"/>
  <c r="AF24" i="1"/>
  <c r="AE24" i="1"/>
  <c r="X24" i="1"/>
  <c r="W24" i="1"/>
  <c r="V24" i="1"/>
  <c r="T24" i="5" s="1"/>
  <c r="T24" i="1"/>
  <c r="S24" i="1"/>
  <c r="Q24" i="1"/>
  <c r="P24" i="1"/>
  <c r="M24" i="1"/>
  <c r="R24" i="5" s="1"/>
  <c r="L24" i="1"/>
  <c r="K24" i="1"/>
  <c r="J24" i="1"/>
  <c r="I24" i="1"/>
  <c r="H24" i="1"/>
  <c r="G24" i="1"/>
  <c r="F24" i="1"/>
  <c r="E24" i="1"/>
  <c r="D24" i="1"/>
  <c r="C24" i="1"/>
  <c r="B24" i="1"/>
  <c r="AU23" i="1"/>
  <c r="AT23" i="1"/>
  <c r="AS23" i="1"/>
  <c r="AN23" i="1"/>
  <c r="AM23" i="1"/>
  <c r="AP23" i="1" s="1"/>
  <c r="AL23" i="1"/>
  <c r="AO23" i="1" s="1"/>
  <c r="AH23" i="1"/>
  <c r="AG23" i="1"/>
  <c r="AF23" i="1"/>
  <c r="AE23" i="1"/>
  <c r="X23" i="1"/>
  <c r="W23" i="1"/>
  <c r="V23" i="1"/>
  <c r="T23" i="5" s="1"/>
  <c r="T23" i="1"/>
  <c r="S23" i="1"/>
  <c r="Q23" i="1"/>
  <c r="P23" i="1"/>
  <c r="M23" i="1"/>
  <c r="R23" i="5" s="1"/>
  <c r="L23" i="1"/>
  <c r="K23" i="1"/>
  <c r="J23" i="1"/>
  <c r="I23" i="1"/>
  <c r="H23" i="1"/>
  <c r="G23" i="1"/>
  <c r="F23" i="1"/>
  <c r="E23" i="1"/>
  <c r="D23" i="1"/>
  <c r="C23" i="1"/>
  <c r="B23" i="1"/>
  <c r="AU22" i="1"/>
  <c r="AT22" i="1"/>
  <c r="AS22" i="1"/>
  <c r="AN22" i="1"/>
  <c r="AM22" i="1"/>
  <c r="AP22" i="1" s="1"/>
  <c r="AL22" i="1"/>
  <c r="AO22" i="1" s="1"/>
  <c r="AH22" i="1"/>
  <c r="AG22" i="1"/>
  <c r="AF22" i="1"/>
  <c r="AE22" i="1"/>
  <c r="X22" i="1"/>
  <c r="W22" i="1"/>
  <c r="Y22" i="1" s="1"/>
  <c r="V22" i="1"/>
  <c r="T22" i="5" s="1"/>
  <c r="T22" i="1"/>
  <c r="S22" i="1"/>
  <c r="Q22" i="1"/>
  <c r="P22" i="1"/>
  <c r="M22" i="1"/>
  <c r="R22" i="5" s="1"/>
  <c r="L22" i="1"/>
  <c r="K22" i="1"/>
  <c r="J22" i="1"/>
  <c r="I22" i="1"/>
  <c r="H22" i="1"/>
  <c r="G22" i="1"/>
  <c r="F22" i="1"/>
  <c r="E22" i="1"/>
  <c r="D22" i="1"/>
  <c r="C22" i="1"/>
  <c r="B22" i="1"/>
  <c r="AU21" i="1"/>
  <c r="AT21" i="1"/>
  <c r="AS21" i="1"/>
  <c r="AN21" i="1"/>
  <c r="AM21" i="1"/>
  <c r="AP21" i="1" s="1"/>
  <c r="AL21" i="1"/>
  <c r="AO21" i="1" s="1"/>
  <c r="AH21" i="1"/>
  <c r="AG21" i="1"/>
  <c r="AF21" i="1"/>
  <c r="AE21" i="1"/>
  <c r="X21" i="1"/>
  <c r="W21" i="1"/>
  <c r="Y21" i="1" s="1"/>
  <c r="V21" i="1"/>
  <c r="T21" i="5" s="1"/>
  <c r="T21" i="1"/>
  <c r="S21" i="1"/>
  <c r="Q21" i="1"/>
  <c r="P21" i="1"/>
  <c r="M21" i="1"/>
  <c r="R21" i="5" s="1"/>
  <c r="L21" i="1"/>
  <c r="K21" i="1"/>
  <c r="J21" i="1"/>
  <c r="I21" i="1"/>
  <c r="H21" i="1"/>
  <c r="G21" i="1"/>
  <c r="F21" i="1"/>
  <c r="E21" i="1"/>
  <c r="D21" i="1"/>
  <c r="C21" i="1"/>
  <c r="B21" i="1"/>
  <c r="AU20" i="1"/>
  <c r="AT20" i="1"/>
  <c r="AS20" i="1"/>
  <c r="AN20" i="1"/>
  <c r="AM20" i="1"/>
  <c r="AP20" i="1" s="1"/>
  <c r="AL20" i="1"/>
  <c r="AO20" i="1" s="1"/>
  <c r="AH20" i="1"/>
  <c r="AG20" i="1"/>
  <c r="AF20" i="1"/>
  <c r="AE20" i="1"/>
  <c r="X20" i="1"/>
  <c r="W20" i="1"/>
  <c r="Y20" i="1" s="1"/>
  <c r="V20" i="1"/>
  <c r="T20" i="5" s="1"/>
  <c r="T20" i="1"/>
  <c r="S20" i="1"/>
  <c r="Q20" i="1"/>
  <c r="P20" i="1"/>
  <c r="M20" i="1"/>
  <c r="R20" i="5" s="1"/>
  <c r="L20" i="1"/>
  <c r="K20" i="1"/>
  <c r="J20" i="1"/>
  <c r="I20" i="1"/>
  <c r="H20" i="1"/>
  <c r="G20" i="1"/>
  <c r="F20" i="1"/>
  <c r="E20" i="1"/>
  <c r="D20" i="1"/>
  <c r="C20" i="1"/>
  <c r="B20" i="1"/>
  <c r="AU19" i="1"/>
  <c r="AT19" i="1"/>
  <c r="AS19" i="1"/>
  <c r="AN19" i="1"/>
  <c r="AM19" i="1"/>
  <c r="AP19" i="1" s="1"/>
  <c r="AL19" i="1"/>
  <c r="AO19" i="1" s="1"/>
  <c r="AH19" i="1"/>
  <c r="AG19" i="1"/>
  <c r="AF19" i="1"/>
  <c r="AE19" i="1"/>
  <c r="X19" i="1"/>
  <c r="W19" i="1"/>
  <c r="V19" i="1"/>
  <c r="T19" i="5" s="1"/>
  <c r="T19" i="1"/>
  <c r="S19" i="1"/>
  <c r="Q19" i="1"/>
  <c r="P19" i="1"/>
  <c r="M19" i="1"/>
  <c r="R19" i="5" s="1"/>
  <c r="L19" i="1"/>
  <c r="K19" i="1"/>
  <c r="J19" i="1"/>
  <c r="I19" i="1"/>
  <c r="H19" i="1"/>
  <c r="G19" i="1"/>
  <c r="F19" i="1"/>
  <c r="E19" i="1"/>
  <c r="D19" i="1"/>
  <c r="C19" i="1"/>
  <c r="B19" i="1"/>
  <c r="AU18" i="1"/>
  <c r="AT18" i="1"/>
  <c r="AS18" i="1"/>
  <c r="AN18" i="1"/>
  <c r="AM18" i="1"/>
  <c r="AP18" i="1" s="1"/>
  <c r="AL18" i="1"/>
  <c r="AO18" i="1" s="1"/>
  <c r="AH18" i="1"/>
  <c r="AG18" i="1"/>
  <c r="AF18" i="1"/>
  <c r="AE18" i="1"/>
  <c r="X18" i="1"/>
  <c r="W18" i="1"/>
  <c r="Y18" i="1" s="1"/>
  <c r="V18" i="1"/>
  <c r="T18" i="5" s="1"/>
  <c r="T18" i="1"/>
  <c r="S18" i="1"/>
  <c r="Q18" i="1"/>
  <c r="P18" i="1"/>
  <c r="M18" i="1"/>
  <c r="L18" i="1"/>
  <c r="K18" i="1"/>
  <c r="P18" i="5" s="1"/>
  <c r="J18" i="1"/>
  <c r="I18" i="1"/>
  <c r="H18" i="1"/>
  <c r="G18" i="1"/>
  <c r="F18" i="1"/>
  <c r="E18" i="1"/>
  <c r="D18" i="1"/>
  <c r="C18" i="1"/>
  <c r="B18" i="1"/>
  <c r="AU17" i="1"/>
  <c r="AT17" i="1"/>
  <c r="AS17" i="1"/>
  <c r="AN17" i="1"/>
  <c r="AM17" i="1"/>
  <c r="AP17" i="1" s="1"/>
  <c r="AL17" i="1"/>
  <c r="AO17" i="1" s="1"/>
  <c r="AH17" i="1"/>
  <c r="AG17" i="1"/>
  <c r="AF17" i="1"/>
  <c r="AE17" i="1"/>
  <c r="X17" i="1"/>
  <c r="W17" i="1"/>
  <c r="Y17" i="1" s="1"/>
  <c r="V17" i="1"/>
  <c r="T17" i="5" s="1"/>
  <c r="T17" i="1"/>
  <c r="S17" i="1"/>
  <c r="Q17" i="1"/>
  <c r="P17" i="1"/>
  <c r="M17" i="1"/>
  <c r="R17" i="5" s="1"/>
  <c r="L17" i="1"/>
  <c r="K17" i="1"/>
  <c r="J17" i="1"/>
  <c r="I17" i="1"/>
  <c r="H17" i="1"/>
  <c r="G17" i="1"/>
  <c r="F17" i="1"/>
  <c r="E17" i="1"/>
  <c r="D17" i="1"/>
  <c r="C17" i="1"/>
  <c r="B17" i="1"/>
  <c r="AU16" i="1"/>
  <c r="AT16" i="1"/>
  <c r="AS16" i="1"/>
  <c r="AN16" i="1"/>
  <c r="AM16" i="1"/>
  <c r="AP16" i="1" s="1"/>
  <c r="AL16" i="1"/>
  <c r="AO16" i="1" s="1"/>
  <c r="AH16" i="1"/>
  <c r="AG16" i="1"/>
  <c r="AF16" i="1"/>
  <c r="AE16" i="1"/>
  <c r="X16" i="1"/>
  <c r="W16" i="1"/>
  <c r="V16" i="1"/>
  <c r="T16" i="5" s="1"/>
  <c r="T16" i="1"/>
  <c r="S16" i="1"/>
  <c r="Q16" i="1"/>
  <c r="P16" i="1"/>
  <c r="M16" i="1"/>
  <c r="R16" i="5" s="1"/>
  <c r="L16" i="1"/>
  <c r="K16" i="1"/>
  <c r="J16" i="1"/>
  <c r="I16" i="1"/>
  <c r="H16" i="1"/>
  <c r="G16" i="1"/>
  <c r="F16" i="1"/>
  <c r="E16" i="1"/>
  <c r="D16" i="1"/>
  <c r="C16" i="1"/>
  <c r="B16" i="1"/>
  <c r="AU15" i="1"/>
  <c r="AT15" i="1"/>
  <c r="AS15" i="1"/>
  <c r="AN15" i="1"/>
  <c r="AM15" i="1"/>
  <c r="AP15" i="1" s="1"/>
  <c r="AL15" i="1"/>
  <c r="AO15" i="1" s="1"/>
  <c r="AH15" i="1"/>
  <c r="AG15" i="1"/>
  <c r="AF15" i="1"/>
  <c r="AE15" i="1"/>
  <c r="X15" i="1"/>
  <c r="W15" i="1"/>
  <c r="Y15" i="1" s="1"/>
  <c r="V15" i="1"/>
  <c r="T15" i="5" s="1"/>
  <c r="T15" i="1"/>
  <c r="S15" i="1"/>
  <c r="Q15" i="1"/>
  <c r="P15" i="1"/>
  <c r="M15" i="1"/>
  <c r="R15" i="5" s="1"/>
  <c r="L15" i="1"/>
  <c r="K15" i="1"/>
  <c r="J15" i="1"/>
  <c r="I15" i="1"/>
  <c r="H15" i="1"/>
  <c r="G15" i="1"/>
  <c r="F15" i="1"/>
  <c r="E15" i="1"/>
  <c r="D15" i="1"/>
  <c r="C15" i="1"/>
  <c r="B15" i="1"/>
  <c r="AU14" i="1"/>
  <c r="AT14" i="1"/>
  <c r="AS14" i="1"/>
  <c r="AN14" i="1"/>
  <c r="AM14" i="1"/>
  <c r="AP14" i="1" s="1"/>
  <c r="AL14" i="1"/>
  <c r="AO14" i="1" s="1"/>
  <c r="AH14" i="1"/>
  <c r="AG14" i="1"/>
  <c r="AF14" i="1"/>
  <c r="AE14" i="1"/>
  <c r="X14" i="1"/>
  <c r="W14" i="1"/>
  <c r="V14" i="1"/>
  <c r="T14" i="5" s="1"/>
  <c r="T14" i="1"/>
  <c r="S14" i="1"/>
  <c r="Q14" i="1"/>
  <c r="P14" i="1"/>
  <c r="M14" i="1"/>
  <c r="R14" i="5" s="1"/>
  <c r="L14" i="1"/>
  <c r="K14" i="1"/>
  <c r="J14" i="1"/>
  <c r="I14" i="1"/>
  <c r="H14" i="1"/>
  <c r="G14" i="1"/>
  <c r="F14" i="1"/>
  <c r="E14" i="1"/>
  <c r="D14" i="1"/>
  <c r="C14" i="1"/>
  <c r="B14" i="1"/>
  <c r="AU13" i="1"/>
  <c r="AT13" i="1"/>
  <c r="AS13" i="1"/>
  <c r="AN13" i="1"/>
  <c r="AM13" i="1"/>
  <c r="AP13" i="1" s="1"/>
  <c r="AL13" i="1"/>
  <c r="AO13" i="1" s="1"/>
  <c r="AH13" i="1"/>
  <c r="AG13" i="1"/>
  <c r="AF13" i="1"/>
  <c r="AE13" i="1"/>
  <c r="X13" i="1"/>
  <c r="W13" i="1"/>
  <c r="Y13" i="1" s="1"/>
  <c r="V13" i="1"/>
  <c r="T13" i="5" s="1"/>
  <c r="T13" i="1"/>
  <c r="S13" i="1"/>
  <c r="Q13" i="1"/>
  <c r="P13" i="1"/>
  <c r="M13" i="1"/>
  <c r="R13" i="5" s="1"/>
  <c r="L13" i="1"/>
  <c r="K13" i="1"/>
  <c r="J13" i="1"/>
  <c r="I13" i="1"/>
  <c r="H13" i="1"/>
  <c r="G13" i="1"/>
  <c r="F13" i="1"/>
  <c r="E13" i="1"/>
  <c r="D13" i="1"/>
  <c r="C13" i="1"/>
  <c r="B13" i="1"/>
  <c r="AU12" i="1"/>
  <c r="AT12" i="1"/>
  <c r="AS12" i="1"/>
  <c r="AN12" i="1"/>
  <c r="AM12" i="1"/>
  <c r="AP12" i="1" s="1"/>
  <c r="AL12" i="1"/>
  <c r="AO12" i="1" s="1"/>
  <c r="AH12" i="1"/>
  <c r="AG12" i="1"/>
  <c r="AF12" i="1"/>
  <c r="AE12" i="1"/>
  <c r="X12" i="1"/>
  <c r="W12" i="1"/>
  <c r="V12" i="1"/>
  <c r="T12" i="5" s="1"/>
  <c r="T12" i="1"/>
  <c r="S12" i="1"/>
  <c r="Q12" i="1"/>
  <c r="P12" i="1"/>
  <c r="M12" i="1"/>
  <c r="R12" i="5" s="1"/>
  <c r="L12" i="1"/>
  <c r="K12" i="1"/>
  <c r="J12" i="1"/>
  <c r="I12" i="1"/>
  <c r="H12" i="1"/>
  <c r="G12" i="1"/>
  <c r="F12" i="1"/>
  <c r="E12" i="1"/>
  <c r="D12" i="1"/>
  <c r="C12" i="1"/>
  <c r="B12" i="1"/>
  <c r="AU11" i="1"/>
  <c r="AT11" i="1"/>
  <c r="AS11" i="1"/>
  <c r="AN11" i="1"/>
  <c r="AM11" i="1"/>
  <c r="AP11" i="1" s="1"/>
  <c r="AL11" i="1"/>
  <c r="AO11" i="1" s="1"/>
  <c r="AH11" i="1"/>
  <c r="AG11" i="1"/>
  <c r="AF11" i="1"/>
  <c r="AE11" i="1"/>
  <c r="X11" i="1"/>
  <c r="W11" i="1"/>
  <c r="V11" i="1"/>
  <c r="T11" i="5" s="1"/>
  <c r="T11" i="1"/>
  <c r="S11" i="1"/>
  <c r="Q11" i="1"/>
  <c r="P11" i="1"/>
  <c r="M11" i="1"/>
  <c r="R11" i="5" s="1"/>
  <c r="L11" i="1"/>
  <c r="K11" i="1"/>
  <c r="J11" i="1"/>
  <c r="I11" i="1"/>
  <c r="H11" i="1"/>
  <c r="G11" i="1"/>
  <c r="F11" i="1"/>
  <c r="E11" i="1"/>
  <c r="D11" i="1"/>
  <c r="C11" i="1"/>
  <c r="B11" i="1"/>
  <c r="AU10" i="1"/>
  <c r="AT10" i="1"/>
  <c r="AS10" i="1"/>
  <c r="AN10" i="1"/>
  <c r="AM10" i="1"/>
  <c r="AP10" i="1" s="1"/>
  <c r="AL10" i="1"/>
  <c r="AO10" i="1" s="1"/>
  <c r="AH10" i="1"/>
  <c r="AG10" i="1"/>
  <c r="AF10" i="1"/>
  <c r="AE10" i="1"/>
  <c r="X10" i="1"/>
  <c r="W10" i="1"/>
  <c r="V10" i="1"/>
  <c r="T10" i="5" s="1"/>
  <c r="T10" i="1"/>
  <c r="S10" i="1"/>
  <c r="Q10" i="1"/>
  <c r="P10" i="1"/>
  <c r="M10" i="1"/>
  <c r="R10" i="5" s="1"/>
  <c r="L10" i="1"/>
  <c r="K10" i="1"/>
  <c r="J10" i="1"/>
  <c r="I10" i="1"/>
  <c r="H10" i="1"/>
  <c r="G10" i="1"/>
  <c r="F10" i="1"/>
  <c r="E10" i="1"/>
  <c r="D10" i="1"/>
  <c r="C10" i="1"/>
  <c r="B10" i="1"/>
  <c r="AU9" i="1"/>
  <c r="AT9" i="1"/>
  <c r="AS9" i="1"/>
  <c r="AN9" i="1"/>
  <c r="AM9" i="1"/>
  <c r="AP9" i="1" s="1"/>
  <c r="AL9" i="1"/>
  <c r="AO9" i="1" s="1"/>
  <c r="AH9" i="1"/>
  <c r="AG9" i="1"/>
  <c r="AF9" i="1"/>
  <c r="AE9" i="1"/>
  <c r="X9" i="1"/>
  <c r="W9" i="1"/>
  <c r="V9" i="1"/>
  <c r="T9" i="5" s="1"/>
  <c r="T9" i="1"/>
  <c r="S9" i="1"/>
  <c r="Q9" i="1"/>
  <c r="P9" i="1"/>
  <c r="M9" i="1"/>
  <c r="R9" i="5" s="1"/>
  <c r="L9" i="1"/>
  <c r="K9" i="1"/>
  <c r="J9" i="1"/>
  <c r="I9" i="1"/>
  <c r="H9" i="1"/>
  <c r="G9" i="1"/>
  <c r="F9" i="1"/>
  <c r="E9" i="1"/>
  <c r="D9" i="1"/>
  <c r="C9" i="1"/>
  <c r="B9" i="1"/>
  <c r="AU8" i="1"/>
  <c r="AT8" i="1"/>
  <c r="AS8" i="1"/>
  <c r="AN8" i="1"/>
  <c r="AM8" i="1"/>
  <c r="AP8" i="1" s="1"/>
  <c r="AL8" i="1"/>
  <c r="AO8" i="1" s="1"/>
  <c r="AH8" i="1"/>
  <c r="AG8" i="1"/>
  <c r="AF8" i="1"/>
  <c r="AE8" i="1"/>
  <c r="X8" i="1"/>
  <c r="W8" i="1"/>
  <c r="Y8" i="1" s="1"/>
  <c r="V8" i="1"/>
  <c r="T8" i="5" s="1"/>
  <c r="T8" i="1"/>
  <c r="S8" i="1"/>
  <c r="Q8" i="1"/>
  <c r="P8" i="1"/>
  <c r="M8" i="1"/>
  <c r="R8" i="5" s="1"/>
  <c r="L8" i="1"/>
  <c r="K8" i="1"/>
  <c r="J8" i="1"/>
  <c r="I8" i="1"/>
  <c r="H8" i="1"/>
  <c r="G8" i="1"/>
  <c r="F8" i="1"/>
  <c r="E8" i="1"/>
  <c r="D8" i="1"/>
  <c r="C8" i="1"/>
  <c r="B8" i="1"/>
  <c r="AU7" i="1"/>
  <c r="AT7" i="1"/>
  <c r="AS7" i="1"/>
  <c r="AN7" i="1"/>
  <c r="AM7" i="1"/>
  <c r="AP7" i="1" s="1"/>
  <c r="AL7" i="1"/>
  <c r="AO7" i="1" s="1"/>
  <c r="AH7" i="1"/>
  <c r="AG7" i="1"/>
  <c r="AF7" i="1"/>
  <c r="AE7" i="1"/>
  <c r="X7" i="1"/>
  <c r="W7" i="1"/>
  <c r="V7" i="1"/>
  <c r="T7" i="5" s="1"/>
  <c r="T7" i="1"/>
  <c r="S7" i="1"/>
  <c r="Q7" i="1"/>
  <c r="P7" i="1"/>
  <c r="M7" i="1"/>
  <c r="R7" i="5" s="1"/>
  <c r="L7" i="1"/>
  <c r="K7" i="1"/>
  <c r="J7" i="1"/>
  <c r="I7" i="1"/>
  <c r="H7" i="1"/>
  <c r="G7" i="1"/>
  <c r="F7" i="1"/>
  <c r="E7" i="1"/>
  <c r="D7" i="1"/>
  <c r="C7" i="1"/>
  <c r="B7" i="1"/>
  <c r="AU6" i="1"/>
  <c r="AT6" i="1"/>
  <c r="AS6" i="1"/>
  <c r="AN6" i="1"/>
  <c r="AM6" i="1"/>
  <c r="AP6" i="1" s="1"/>
  <c r="AL6" i="1"/>
  <c r="AO6" i="1" s="1"/>
  <c r="AH6" i="1"/>
  <c r="AG6" i="1"/>
  <c r="AF6" i="1"/>
  <c r="AE6" i="1"/>
  <c r="X6" i="1"/>
  <c r="W6" i="1"/>
  <c r="V6" i="1"/>
  <c r="T6" i="5" s="1"/>
  <c r="T6" i="1"/>
  <c r="S6" i="1"/>
  <c r="Q6" i="1"/>
  <c r="P6" i="1"/>
  <c r="M6" i="1"/>
  <c r="R6" i="5" s="1"/>
  <c r="L6" i="1"/>
  <c r="K6" i="1"/>
  <c r="J6" i="1"/>
  <c r="I6" i="1"/>
  <c r="H6" i="1"/>
  <c r="G6" i="1"/>
  <c r="F6" i="1"/>
  <c r="E6" i="1"/>
  <c r="D6" i="1"/>
  <c r="C6" i="1"/>
  <c r="B6" i="1"/>
  <c r="Y7" i="1" l="1"/>
  <c r="Y12" i="1"/>
  <c r="Z12" i="1" s="1"/>
  <c r="Y23" i="1"/>
  <c r="Z23" i="1" s="1"/>
  <c r="Y16" i="1"/>
  <c r="Z16" i="1" s="1"/>
  <c r="Y11" i="1"/>
  <c r="Z11" i="1" s="1"/>
  <c r="Y19" i="1"/>
  <c r="Z19" i="1" s="1"/>
  <c r="Y24" i="1"/>
  <c r="Z24" i="1" s="1"/>
  <c r="Y10" i="1"/>
  <c r="Z10" i="1" s="1"/>
  <c r="Y9" i="1"/>
  <c r="Z9" i="1" s="1"/>
  <c r="Y14" i="1"/>
  <c r="Z14" i="1" s="1"/>
  <c r="Y6" i="1"/>
  <c r="Z6" i="1" s="1"/>
  <c r="K18" i="5"/>
  <c r="L18" i="5" s="1"/>
  <c r="AJ18" i="1"/>
  <c r="AB18" i="1"/>
  <c r="H18" i="5"/>
  <c r="I18" i="5" s="1"/>
  <c r="AI18" i="1"/>
  <c r="AK18" i="1" s="1"/>
  <c r="AC18" i="1"/>
  <c r="AA18" i="1"/>
  <c r="AD18" i="1" s="1"/>
  <c r="U18" i="5" s="1"/>
  <c r="D18" i="5"/>
  <c r="U18" i="1"/>
  <c r="R18" i="1"/>
  <c r="K15" i="5"/>
  <c r="L15" i="5" s="1"/>
  <c r="AJ15" i="1"/>
  <c r="H15" i="5"/>
  <c r="I15" i="5" s="1"/>
  <c r="AC15" i="1"/>
  <c r="AI15" i="1"/>
  <c r="AK15" i="1" s="1"/>
  <c r="D10" i="5"/>
  <c r="U10" i="1"/>
  <c r="R10" i="1"/>
  <c r="K7" i="5"/>
  <c r="L7" i="5" s="1"/>
  <c r="AJ7" i="1"/>
  <c r="AB7" i="1"/>
  <c r="H7" i="5"/>
  <c r="I7" i="5" s="1"/>
  <c r="AI7" i="1"/>
  <c r="AC7" i="1"/>
  <c r="AA7" i="1"/>
  <c r="Z25" i="1"/>
  <c r="AJ25" i="1"/>
  <c r="AB25" i="1"/>
  <c r="K25" i="5"/>
  <c r="L25" i="5" s="1"/>
  <c r="P25" i="5"/>
  <c r="S25" i="5" s="1"/>
  <c r="N25" i="1"/>
  <c r="H25" i="5"/>
  <c r="I25" i="5" s="1"/>
  <c r="AC25" i="1"/>
  <c r="AA25" i="1"/>
  <c r="AD25" i="1" s="1"/>
  <c r="U25" i="5" s="1"/>
  <c r="AI25" i="1"/>
  <c r="AK25" i="1" s="1"/>
  <c r="R25" i="1"/>
  <c r="D25" i="5"/>
  <c r="U25" i="1"/>
  <c r="O25" i="1"/>
  <c r="N25" i="5" s="1"/>
  <c r="AB24" i="1"/>
  <c r="AJ24" i="1"/>
  <c r="K24" i="5"/>
  <c r="L24" i="5" s="1"/>
  <c r="P24" i="5"/>
  <c r="S24" i="5" s="1"/>
  <c r="N24" i="1"/>
  <c r="AC24" i="1"/>
  <c r="AA24" i="1"/>
  <c r="H24" i="5"/>
  <c r="I24" i="5" s="1"/>
  <c r="AI24" i="1"/>
  <c r="AK24" i="1" s="1"/>
  <c r="D24" i="5"/>
  <c r="R24" i="1"/>
  <c r="O24" i="1"/>
  <c r="N24" i="5" s="1"/>
  <c r="U24" i="1"/>
  <c r="K23" i="5"/>
  <c r="L23" i="5" s="1"/>
  <c r="AB23" i="1"/>
  <c r="AJ23" i="1"/>
  <c r="N23" i="1"/>
  <c r="P23" i="5"/>
  <c r="S23" i="5" s="1"/>
  <c r="H23" i="5"/>
  <c r="I23" i="5" s="1"/>
  <c r="AI23" i="1"/>
  <c r="AC23" i="1"/>
  <c r="AA23" i="1"/>
  <c r="O23" i="1"/>
  <c r="N23" i="5" s="1"/>
  <c r="D23" i="5"/>
  <c r="U23" i="1"/>
  <c r="R23" i="1"/>
  <c r="Z22" i="1"/>
  <c r="AB22" i="1"/>
  <c r="K22" i="5"/>
  <c r="L22" i="5" s="1"/>
  <c r="AJ22" i="1"/>
  <c r="P22" i="5"/>
  <c r="S22" i="5" s="1"/>
  <c r="N22" i="1"/>
  <c r="AA22" i="1"/>
  <c r="AC22" i="1"/>
  <c r="AI22" i="1"/>
  <c r="AK22" i="1" s="1"/>
  <c r="H22" i="5"/>
  <c r="I22" i="5" s="1"/>
  <c r="O22" i="1"/>
  <c r="N22" i="5" s="1"/>
  <c r="U22" i="1"/>
  <c r="D22" i="5"/>
  <c r="R22" i="1"/>
  <c r="Z21" i="1"/>
  <c r="AJ21" i="1"/>
  <c r="AB21" i="1"/>
  <c r="K21" i="5"/>
  <c r="L21" i="5" s="1"/>
  <c r="N21" i="1"/>
  <c r="O21" i="1" s="1"/>
  <c r="N21" i="5" s="1"/>
  <c r="P21" i="5"/>
  <c r="S21" i="5" s="1"/>
  <c r="AC21" i="1"/>
  <c r="AI21" i="1"/>
  <c r="AK21" i="1" s="1"/>
  <c r="H21" i="5"/>
  <c r="I21" i="5" s="1"/>
  <c r="AA21" i="1"/>
  <c r="R21" i="1"/>
  <c r="D21" i="5"/>
  <c r="U21" i="1"/>
  <c r="Z20" i="1"/>
  <c r="AJ20" i="1"/>
  <c r="AB20" i="1"/>
  <c r="K20" i="5"/>
  <c r="L20" i="5" s="1"/>
  <c r="P20" i="5"/>
  <c r="S20" i="5" s="1"/>
  <c r="N20" i="1"/>
  <c r="AC20" i="1"/>
  <c r="H20" i="5"/>
  <c r="I20" i="5" s="1"/>
  <c r="AI20" i="1"/>
  <c r="AK20" i="1" s="1"/>
  <c r="AA20" i="1"/>
  <c r="D20" i="5"/>
  <c r="R20" i="1"/>
  <c r="U20" i="1"/>
  <c r="O20" i="1"/>
  <c r="N20" i="5" s="1"/>
  <c r="AJ19" i="1"/>
  <c r="AB19" i="1"/>
  <c r="K19" i="5"/>
  <c r="L19" i="5" s="1"/>
  <c r="P19" i="5"/>
  <c r="S19" i="5" s="1"/>
  <c r="N19" i="1"/>
  <c r="O19" i="1" s="1"/>
  <c r="N19" i="5" s="1"/>
  <c r="AA19" i="1"/>
  <c r="AI19" i="1"/>
  <c r="AK19" i="1" s="1"/>
  <c r="AC19" i="1"/>
  <c r="H19" i="5"/>
  <c r="I19" i="5" s="1"/>
  <c r="D19" i="5"/>
  <c r="R19" i="1"/>
  <c r="U19" i="1"/>
  <c r="Z18" i="1"/>
  <c r="N18" i="1"/>
  <c r="O18" i="1" s="1"/>
  <c r="N18" i="5" s="1"/>
  <c r="R18" i="5"/>
  <c r="S18" i="5" s="1"/>
  <c r="Z17" i="1"/>
  <c r="K17" i="5"/>
  <c r="L17" i="5" s="1"/>
  <c r="AJ17" i="1"/>
  <c r="AB17" i="1"/>
  <c r="N17" i="1"/>
  <c r="P17" i="5"/>
  <c r="S17" i="5" s="1"/>
  <c r="AI17" i="1"/>
  <c r="AA17" i="1"/>
  <c r="AC17" i="1"/>
  <c r="H17" i="5"/>
  <c r="I17" i="5" s="1"/>
  <c r="D17" i="5"/>
  <c r="O17" i="1"/>
  <c r="N17" i="5" s="1"/>
  <c r="R17" i="1"/>
  <c r="U17" i="1"/>
  <c r="K16" i="5"/>
  <c r="L16" i="5" s="1"/>
  <c r="AB16" i="1"/>
  <c r="AJ16" i="1"/>
  <c r="P16" i="5"/>
  <c r="S16" i="5" s="1"/>
  <c r="N16" i="1"/>
  <c r="H16" i="5"/>
  <c r="I16" i="5" s="1"/>
  <c r="AA16" i="1"/>
  <c r="AC16" i="1"/>
  <c r="AI16" i="1"/>
  <c r="U16" i="1"/>
  <c r="D16" i="5"/>
  <c r="R16" i="1"/>
  <c r="O16" i="1"/>
  <c r="N16" i="5" s="1"/>
  <c r="Z15" i="1"/>
  <c r="N15" i="1"/>
  <c r="O15" i="1" s="1"/>
  <c r="N15" i="5" s="1"/>
  <c r="P15" i="5"/>
  <c r="S15" i="5" s="1"/>
  <c r="AB15" i="1"/>
  <c r="AA15" i="1"/>
  <c r="U15" i="1"/>
  <c r="R15" i="1"/>
  <c r="D15" i="5"/>
  <c r="AB14" i="1"/>
  <c r="K14" i="5"/>
  <c r="L14" i="5" s="1"/>
  <c r="AJ14" i="1"/>
  <c r="N14" i="1"/>
  <c r="P14" i="5"/>
  <c r="S14" i="5" s="1"/>
  <c r="H14" i="5"/>
  <c r="I14" i="5" s="1"/>
  <c r="AC14" i="1"/>
  <c r="AA14" i="1"/>
  <c r="AI14" i="1"/>
  <c r="AK14" i="1" s="1"/>
  <c r="R14" i="1"/>
  <c r="O14" i="1"/>
  <c r="N14" i="5" s="1"/>
  <c r="U14" i="1"/>
  <c r="D14" i="5"/>
  <c r="Z13" i="1"/>
  <c r="K13" i="5"/>
  <c r="L13" i="5" s="1"/>
  <c r="AB13" i="1"/>
  <c r="AJ13" i="1"/>
  <c r="P13" i="5"/>
  <c r="S13" i="5" s="1"/>
  <c r="N13" i="1"/>
  <c r="O13" i="1" s="1"/>
  <c r="N13" i="5" s="1"/>
  <c r="AC13" i="1"/>
  <c r="AI13" i="1"/>
  <c r="H13" i="5"/>
  <c r="I13" i="5" s="1"/>
  <c r="AA13" i="1"/>
  <c r="AD13" i="1" s="1"/>
  <c r="U13" i="5" s="1"/>
  <c r="D13" i="5"/>
  <c r="U13" i="1"/>
  <c r="R13" i="1"/>
  <c r="K12" i="5"/>
  <c r="L12" i="5" s="1"/>
  <c r="AB12" i="1"/>
  <c r="AJ12" i="1"/>
  <c r="N12" i="1"/>
  <c r="O12" i="1" s="1"/>
  <c r="N12" i="5" s="1"/>
  <c r="P12" i="5"/>
  <c r="S12" i="5" s="1"/>
  <c r="H12" i="5"/>
  <c r="I12" i="5" s="1"/>
  <c r="AA12" i="1"/>
  <c r="AC12" i="1"/>
  <c r="AI12" i="1"/>
  <c r="AK12" i="1" s="1"/>
  <c r="D12" i="5"/>
  <c r="R12" i="1"/>
  <c r="U12" i="1"/>
  <c r="AB11" i="1"/>
  <c r="K11" i="5"/>
  <c r="L11" i="5" s="1"/>
  <c r="AJ11" i="1"/>
  <c r="P11" i="5"/>
  <c r="S11" i="5" s="1"/>
  <c r="N11" i="1"/>
  <c r="H11" i="5"/>
  <c r="I11" i="5" s="1"/>
  <c r="AC11" i="1"/>
  <c r="AA11" i="1"/>
  <c r="AI11" i="1"/>
  <c r="R11" i="1"/>
  <c r="D11" i="5"/>
  <c r="U11" i="1"/>
  <c r="O11" i="1"/>
  <c r="N11" i="5" s="1"/>
  <c r="AB10" i="1"/>
  <c r="K10" i="5"/>
  <c r="L10" i="5" s="1"/>
  <c r="AJ10" i="1"/>
  <c r="P10" i="5"/>
  <c r="S10" i="5" s="1"/>
  <c r="N10" i="1"/>
  <c r="O10" i="1" s="1"/>
  <c r="N10" i="5" s="1"/>
  <c r="H10" i="5"/>
  <c r="I10" i="5" s="1"/>
  <c r="AC10" i="1"/>
  <c r="AA10" i="1"/>
  <c r="AI10" i="1"/>
  <c r="AK10" i="1" s="1"/>
  <c r="K9" i="5"/>
  <c r="L9" i="5" s="1"/>
  <c r="AJ9" i="1"/>
  <c r="AB9" i="1"/>
  <c r="P9" i="5"/>
  <c r="S9" i="5" s="1"/>
  <c r="N9" i="1"/>
  <c r="O9" i="1" s="1"/>
  <c r="N9" i="5" s="1"/>
  <c r="H9" i="5"/>
  <c r="I9" i="5" s="1"/>
  <c r="AA9" i="1"/>
  <c r="AC9" i="1"/>
  <c r="AI9" i="1"/>
  <c r="AK9" i="1" s="1"/>
  <c r="D9" i="5"/>
  <c r="R9" i="1"/>
  <c r="U9" i="1"/>
  <c r="Z8" i="1"/>
  <c r="AJ8" i="1"/>
  <c r="AB8" i="1"/>
  <c r="K8" i="5"/>
  <c r="L8" i="5" s="1"/>
  <c r="P8" i="5"/>
  <c r="S8" i="5" s="1"/>
  <c r="N8" i="1"/>
  <c r="AI8" i="1"/>
  <c r="AC8" i="1"/>
  <c r="AA8" i="1"/>
  <c r="AD8" i="1" s="1"/>
  <c r="U8" i="5" s="1"/>
  <c r="H8" i="5"/>
  <c r="I8" i="5" s="1"/>
  <c r="O8" i="1"/>
  <c r="N8" i="5" s="1"/>
  <c r="R8" i="1"/>
  <c r="D8" i="5"/>
  <c r="U8" i="1"/>
  <c r="P7" i="5"/>
  <c r="S7" i="5" s="1"/>
  <c r="N7" i="1"/>
  <c r="U7" i="1"/>
  <c r="R7" i="1"/>
  <c r="O7" i="1"/>
  <c r="N7" i="5" s="1"/>
  <c r="D7" i="5"/>
  <c r="K6" i="5"/>
  <c r="L6" i="5" s="1"/>
  <c r="AB6" i="1"/>
  <c r="AJ6" i="1"/>
  <c r="N6" i="1"/>
  <c r="P6" i="5"/>
  <c r="S6" i="5" s="1"/>
  <c r="AC6" i="1"/>
  <c r="AA6" i="1"/>
  <c r="AI6" i="1"/>
  <c r="H6" i="5"/>
  <c r="I6" i="5" s="1"/>
  <c r="O6" i="1"/>
  <c r="N6" i="5" s="1"/>
  <c r="U6" i="1"/>
  <c r="R6" i="1"/>
  <c r="D6" i="5"/>
  <c r="AK13" i="1" l="1"/>
  <c r="AD24" i="1"/>
  <c r="AD23" i="1"/>
  <c r="U23" i="5" s="1"/>
  <c r="AD15" i="1"/>
  <c r="U15" i="5" s="1"/>
  <c r="AD12" i="1"/>
  <c r="U12" i="5" s="1"/>
  <c r="AD11" i="1"/>
  <c r="U11" i="5" s="1"/>
  <c r="AD10" i="1"/>
  <c r="U10" i="5" s="1"/>
  <c r="Z7" i="1"/>
  <c r="AD7" i="1"/>
  <c r="U7" i="5" s="1"/>
  <c r="E18" i="5"/>
  <c r="F18" i="5"/>
  <c r="E10" i="5"/>
  <c r="F10" i="5"/>
  <c r="AK7" i="1"/>
  <c r="AK11" i="1"/>
  <c r="AK6" i="1"/>
  <c r="AD21" i="1"/>
  <c r="U21" i="5" s="1"/>
  <c r="AD22" i="1"/>
  <c r="U22" i="5" s="1"/>
  <c r="AD20" i="1"/>
  <c r="U20" i="5" s="1"/>
  <c r="AD6" i="1"/>
  <c r="U6" i="5" s="1"/>
  <c r="AD19" i="1"/>
  <c r="AD17" i="1"/>
  <c r="U17" i="5" s="1"/>
  <c r="AD14" i="1"/>
  <c r="U14" i="5" s="1"/>
  <c r="AD9" i="1"/>
  <c r="U9" i="5" s="1"/>
  <c r="AD16" i="1"/>
  <c r="U16" i="5" s="1"/>
  <c r="E25" i="5"/>
  <c r="F25" i="5"/>
  <c r="E24" i="5"/>
  <c r="F24" i="5"/>
  <c r="E23" i="5"/>
  <c r="F23" i="5"/>
  <c r="E22" i="5"/>
  <c r="F22" i="5"/>
  <c r="E21" i="5"/>
  <c r="F21" i="5"/>
  <c r="E20" i="5"/>
  <c r="F20" i="5"/>
  <c r="E19" i="5"/>
  <c r="F19" i="5"/>
  <c r="E17" i="5"/>
  <c r="F17" i="5"/>
  <c r="E16" i="5"/>
  <c r="F16" i="5"/>
  <c r="E15" i="5"/>
  <c r="F15" i="5"/>
  <c r="E14" i="5"/>
  <c r="F14" i="5"/>
  <c r="E13" i="5"/>
  <c r="F13" i="5"/>
  <c r="E12" i="5"/>
  <c r="F12" i="5"/>
  <c r="E11" i="5"/>
  <c r="F11" i="5"/>
  <c r="E9" i="5"/>
  <c r="F9" i="5"/>
  <c r="E8" i="5"/>
  <c r="F8" i="5"/>
  <c r="E7" i="5"/>
  <c r="F7" i="5"/>
  <c r="E6" i="5"/>
  <c r="F6" i="5"/>
  <c r="AK23" i="1"/>
  <c r="AK17" i="1"/>
  <c r="AK16" i="1"/>
  <c r="AK8" i="1"/>
  <c r="U24" i="5" l="1"/>
  <c r="U19" i="5"/>
</calcChain>
</file>

<file path=xl/sharedStrings.xml><?xml version="1.0" encoding="utf-8"?>
<sst xmlns="http://schemas.openxmlformats.org/spreadsheetml/2006/main" count="285" uniqueCount="200">
  <si>
    <t>Bull Strangle Screener — OptionSamurai Live Data (Excel Formula Add-in) | April 13, 2026 Entry / May 8, 2026 Expiration</t>
  </si>
  <si>
    <t>Formulas auto-populate from OptionSamurai. Change expiry in B3 to update all rows. Bull Strangle 1.5% rule: Call +1.5% rounded UP, Put −1.5% rounded DOWN. | Week: April 13, 2026 Entry / May 8, 2026 Expiration</t>
  </si>
  <si>
    <t>Expiration Date:</t>
  </si>
  <si>
    <t>2026-05-08</t>
  </si>
  <si>
    <t>← Change date here (YYYY-MM-DD) to update ALL formulas</t>
  </si>
  <si>
    <t>Stock Info (Live)</t>
  </si>
  <si>
    <t>MA Filter — 2-of-4 Min (50d / 200d / 1m Perf / 3m Perf)</t>
  </si>
  <si>
    <t>1.5% Strangle Strikes</t>
  </si>
  <si>
    <t>Covered Call</t>
  </si>
  <si>
    <t>Cash-Secured Put</t>
  </si>
  <si>
    <t>Earnings</t>
  </si>
  <si>
    <t>Prob &amp; Quality</t>
  </si>
  <si>
    <t>25Δ Reference</t>
  </si>
  <si>
    <t>Prob OTM</t>
  </si>
  <si>
    <t>Advisory (Informational)</t>
  </si>
  <si>
    <t>Open P&amp;L ⚠️ Fill on Open</t>
  </si>
  <si>
    <t>Symbol</t>
  </si>
  <si>
    <t>Last
Price</t>
  </si>
  <si>
    <t>Stock
IV</t>
  </si>
  <si>
    <t>Sector</t>
  </si>
  <si>
    <t>Industry</t>
  </si>
  <si>
    <t>Above MAs
(0–4
Count)</t>
  </si>
  <si>
    <t>MA Detail
(all 4)</t>
  </si>
  <si>
    <t>1m Perf
(20d proxy)</t>
  </si>
  <si>
    <t>3m Perf
(100d proxy)</t>
  </si>
  <si>
    <t>1.5%
Call
Strike</t>
  </si>
  <si>
    <t>Call
Bid</t>
  </si>
  <si>
    <t>1.5%
Put
Strike</t>
  </si>
  <si>
    <t>Put
Bid</t>
  </si>
  <si>
    <t>Total
Credit</t>
  </si>
  <si>
    <t>% Return
(4-wk)</t>
  </si>
  <si>
    <t>CC
Strike</t>
  </si>
  <si>
    <t>CC
Bid</t>
  </si>
  <si>
    <t>CC %</t>
  </si>
  <si>
    <t>CSP
Strike</t>
  </si>
  <si>
    <t>CSP
Bid</t>
  </si>
  <si>
    <t>CSP %</t>
  </si>
  <si>
    <t>Next
Earnings</t>
  </si>
  <si>
    <t>Call
Delta</t>
  </si>
  <si>
    <t>Put
Delta
(abs)</t>
  </si>
  <si>
    <t>Prob
Profit</t>
  </si>
  <si>
    <t>Prob
Loss</t>
  </si>
  <si>
    <t>Call
Dist %</t>
  </si>
  <si>
    <t>Put
Dist %</t>
  </si>
  <si>
    <t>Strike
Gap</t>
  </si>
  <si>
    <t>TRADE?</t>
  </si>
  <si>
    <t>25Δ
Call
Strike</t>
  </si>
  <si>
    <t>25Δ
Call
Bid</t>
  </si>
  <si>
    <t>25Δ
Put
Strike</t>
  </si>
  <si>
    <t>25Δ
Put
Bid</t>
  </si>
  <si>
    <t>Call
Prob
Worthless</t>
  </si>
  <si>
    <t>Put
Prob
Worthless</t>
  </si>
  <si>
    <t>Prob Both
Worthless</t>
  </si>
  <si>
    <t>IV-RV
Pctl</t>
  </si>
  <si>
    <t>ATR %</t>
  </si>
  <si>
    <t>Short
Ratio</t>
  </si>
  <si>
    <t>IV-RV
Flag</t>
  </si>
  <si>
    <t>Path
Stability</t>
  </si>
  <si>
    <t>Entry
Call Bid
⚠️FILL</t>
  </si>
  <si>
    <t>Entry
Put Bid
⚠️FILL</t>
  </si>
  <si>
    <t>Call
Intrinsic</t>
  </si>
  <si>
    <t>Put
Intrinsic</t>
  </si>
  <si>
    <t>Open P&amp;L
×100 shs</t>
  </si>
  <si>
    <t>PSKY</t>
  </si>
  <si>
    <t>DECK</t>
  </si>
  <si>
    <t>GME</t>
  </si>
  <si>
    <t>JD</t>
  </si>
  <si>
    <t>URBN</t>
  </si>
  <si>
    <t>BUD</t>
  </si>
  <si>
    <t>UEC</t>
  </si>
  <si>
    <t>EEM</t>
  </si>
  <si>
    <t>ETHA</t>
  </si>
  <si>
    <t>EWJ</t>
  </si>
  <si>
    <t>EWZ</t>
  </si>
  <si>
    <t>IAU</t>
  </si>
  <si>
    <t>IBIT</t>
  </si>
  <si>
    <t>KRE</t>
  </si>
  <si>
    <t>SILJ</t>
  </si>
  <si>
    <t>DAL</t>
  </si>
  <si>
    <t>MP</t>
  </si>
  <si>
    <t>CSCO</t>
  </si>
  <si>
    <t>QXO</t>
  </si>
  <si>
    <t>RNG</t>
  </si>
  <si>
    <t>⚠ TRADE? (AD) requires ALL 7: Prob Profit &gt;5% | Call dist 1.5–4% | Put dist 1.5–4% | Call Δ &lt;0.50 | Put Δ &lt;0.50 | Strikes differ | MA Count F≥2  ||  MA Count (F): 4 indicators — 50d MA dist, 200d MA dist, 1m Perf, 3m Perf. 🟢 4/4  ✅ 3/4  ✅ 2/4 = PASS  ⛔ 1 or 0 = FAIL  ||  Stock IV: 🟢 &lt;40%  🟡 40–80%  🔴 &gt;80%  ||  Prob OTM: 🟢 &gt;60%  🟡 40–60%  🔴 &lt;40%  ||  Prob Both Worthless (AK): 🟢 &gt;40%  🟡 25–40%  🔴 &lt;25%  ||  Advisory — IV-RV Pct (AL): 🟢 ≥60%  🟡 30–60%  🔴 &lt;30%  ||  ATR% (AM): 🟢 ≤2%  🟡 2–4%  🔴 &gt;4%  ||  Short Ratio (AN): 🟢 &lt;3  🟡 3–10  🔴 &gt;10  ||  ⚠️ P&amp;L cols AQ/AR: enter actual bids in YELLOW cells when trade opens. AS/AT/AU auto-calculate intrinsic value and open P&amp;L. Clear AQ/AR on close.</t>
  </si>
  <si>
    <t>Bull Strangle Newsletter — Watch List: April 13, 2026 Entry / May 8, 2026 Expiration</t>
  </si>
  <si>
    <t>Source: Dual Edge Research — Darren Carlat | All prices from Friday April 10, 2026 close</t>
  </si>
  <si>
    <t>Stock / ETF</t>
  </si>
  <si>
    <t>Implied
Vol</t>
  </si>
  <si>
    <t>Sell Call Option</t>
  </si>
  <si>
    <t>Sell Put Option</t>
  </si>
  <si>
    <t>Bull Strangle
Return</t>
  </si>
  <si>
    <t>Put Credit
Spread</t>
  </si>
  <si>
    <t>Covered
Call</t>
  </si>
  <si>
    <t>Description</t>
  </si>
  <si>
    <t>Impl
Vol</t>
  </si>
  <si>
    <t>Call
Strike</t>
  </si>
  <si>
    <t>Put
Strike</t>
  </si>
  <si>
    <t>Bull
Strangle</t>
  </si>
  <si>
    <t>Paramount Skydance Corp Cl B</t>
  </si>
  <si>
    <t>Communication Services</t>
  </si>
  <si>
    <t>Deckers Outdoor Corp</t>
  </si>
  <si>
    <t>Consumer Discretionary</t>
  </si>
  <si>
    <t>Gamestop Corp</t>
  </si>
  <si>
    <t>Jd.com Inc ADR</t>
  </si>
  <si>
    <t>Urban Outfitters Inc</t>
  </si>
  <si>
    <t>Anheuser-Busch Inbev S.A. ADR</t>
  </si>
  <si>
    <t>Consumer Staples</t>
  </si>
  <si>
    <t>Uranium Energy Corp</t>
  </si>
  <si>
    <t>Energy</t>
  </si>
  <si>
    <t>Emrg Mkts iShares MSCI ETF</t>
  </si>
  <si>
    <t>ETF</t>
  </si>
  <si>
    <t>iShares Ethereum Trust ETF</t>
  </si>
  <si>
    <t>Japan iShares MSCI ETF</t>
  </si>
  <si>
    <t>Brazil iShares MSCI ETF</t>
  </si>
  <si>
    <t>Gold Trust iShares</t>
  </si>
  <si>
    <t>iShares Bitcoin Trust ETF</t>
  </si>
  <si>
    <t>S&amp;P Regional Banking ETF SPDR</t>
  </si>
  <si>
    <t>Amplify Junior Silver Miners ETF</t>
  </si>
  <si>
    <t>Delta Air Lines Inc</t>
  </si>
  <si>
    <t>Industrials</t>
  </si>
  <si>
    <t>MP Materials Corp</t>
  </si>
  <si>
    <t>Materials</t>
  </si>
  <si>
    <t>Cisco Systems Inc</t>
  </si>
  <si>
    <t>Technology</t>
  </si>
  <si>
    <t>Qxo Inc</t>
  </si>
  <si>
    <t>Ringcentral Inc</t>
  </si>
  <si>
    <t>Notes</t>
  </si>
  <si>
    <t>Bull Strangle — Newsletter vs OptionSamurai Deviations | April 13, 2026 Entry / May 8, 2026 Expiration</t>
  </si>
  <si>
    <t>Compares Newsletter (Friday close) vs OptionSamurai live data. Green = match/better, Red = deviation worth noting.</t>
  </si>
  <si>
    <t>Legend:  Price Δ = 0 is expected (both use same Friday close).  Strike Δ = OS live vs NL static — non-zero is expected (OS updates intraday).  Cred Δ = OS total credit minus NL total credit.</t>
  </si>
  <si>
    <t>Identifier</t>
  </si>
  <si>
    <t>Stock Price</t>
  </si>
  <si>
    <t>Call Strike</t>
  </si>
  <si>
    <t>Put Strike</t>
  </si>
  <si>
    <t>Bull Strangle Return</t>
  </si>
  <si>
    <t>Option Premiums</t>
  </si>
  <si>
    <t>OS Filter</t>
  </si>
  <si>
    <t>NL Last
Price</t>
  </si>
  <si>
    <t>OS Last
Price</t>
  </si>
  <si>
    <t>Price Δ
($)</t>
  </si>
  <si>
    <t>Price Δ
(%)</t>
  </si>
  <si>
    <t>NL Call
Strike</t>
  </si>
  <si>
    <t>OS Call
Strike</t>
  </si>
  <si>
    <t>Call Stk
Δ ($)</t>
  </si>
  <si>
    <t>NL Put
Strike</t>
  </si>
  <si>
    <t>OS Put
Strike</t>
  </si>
  <si>
    <t>Put Stk
Δ ($)</t>
  </si>
  <si>
    <t>NL Bull
Return</t>
  </si>
  <si>
    <t>OS Bull
Return</t>
  </si>
  <si>
    <t>NL Call
Bid</t>
  </si>
  <si>
    <t>OS Call
Bid</t>
  </si>
  <si>
    <t>NL Put
Bid</t>
  </si>
  <si>
    <t>OS Put
Bid</t>
  </si>
  <si>
    <t>Cred Δ
($)</t>
  </si>
  <si>
    <t>TRADE?
(OS)</t>
  </si>
  <si>
    <t>📌 KEY: Price Δ=0 is normal (both NL and OS use same Friday close).  Strike and premium deltas reflect intraday OS pricing vs Friday NL snapshot.  Large Cred Δ (&gt;$0.20) may warrant reviewing position sizing.</t>
  </si>
  <si>
    <t>OptionSamurai Excel Integration — Bull Strangle Strategy Setup</t>
  </si>
  <si>
    <t>STEP 1</t>
  </si>
  <si>
    <t>Install Plugin</t>
  </si>
  <si>
    <t>Excel: Home tab → Add-ins → search 'Option Samurai'
Activate and sign in with your OptionSamurai credentials.</t>
  </si>
  <si>
    <t>STEP 2</t>
  </si>
  <si>
    <t>Open This File</t>
  </si>
  <si>
    <t>Open with OptionSamurai add-in active. Formulas populate automatically.</t>
  </si>
  <si>
    <t>STEP 3</t>
  </si>
  <si>
    <t>Recalculate UDFs</t>
  </si>
  <si>
    <t>Press Ctrl+Shift+Alt+F9 to force-refresh all OptionSamurai UDF values.
(Ctrl+Alt+F9 may conflict with GeForce — use the 4-key version.)</t>
  </si>
  <si>
    <t>STEP 4</t>
  </si>
  <si>
    <t>Change Expiry</t>
  </si>
  <si>
    <t>Edit cell B3 on the OS tab to update the expiry date (YYYY-MM-DD).
All option formulas reference $B$3 and update automatically.</t>
  </si>
  <si>
    <t>STEP 5</t>
  </si>
  <si>
    <t>Enter Trades</t>
  </si>
  <si>
    <t>Fill YELLOW cells AQ/AR with actual bids when opening a position.
AS/AT/AU calculate intrinsic value and open P&amp;L automatically.</t>
  </si>
  <si>
    <t>STEP 6</t>
  </si>
  <si>
    <t>Weekly Refresh</t>
  </si>
  <si>
    <t>Each Sunday: Claude generates a new dated workbook from the newsletter.
Download, open, press Ctrl+Shift+Alt+F9. Template never needs updating.</t>
  </si>
  <si>
    <t>OptionSamurai Formula Reference — Bull Strangle Strategy  |  v4 template</t>
  </si>
  <si>
    <t>Purpose</t>
  </si>
  <si>
    <t>Excel Formula</t>
  </si>
  <si>
    <t>Google Sheets Formula</t>
  </si>
  <si>
    <t>Last stock price</t>
  </si>
  <si>
    <t>Replace ROKU with any ticker</t>
  </si>
  <si>
    <t>Stock IV</t>
  </si>
  <si>
    <t>Implied volatility as decimal</t>
  </si>
  <si>
    <t>1.5% OTM Call strike</t>
  </si>
  <si>
    <t>Round up to nearest strike</t>
  </si>
  <si>
    <t>1.5% OTM Put strike</t>
  </si>
  <si>
    <t>Round down to nearest strike</t>
  </si>
  <si>
    <t>Call bid at 1.5% strike</t>
  </si>
  <si>
    <t>Mid-market bid</t>
  </si>
  <si>
    <t>Call delta</t>
  </si>
  <si>
    <t>Should be &lt; 0.50 for TRADE?</t>
  </si>
  <si>
    <t>Earnings date</t>
  </si>
  <si>
    <t>Next earnings announcement</t>
  </si>
  <si>
    <t>IV-RV Percentile</t>
  </si>
  <si>
    <t>Advisory: prefer ≥ 0.60</t>
  </si>
  <si>
    <t>Advisory: prefer ≤ 2%</t>
  </si>
  <si>
    <t>Short ratio</t>
  </si>
  <si>
    <t>Advisory: prefer &lt; 3</t>
  </si>
  <si>
    <t>Prob OTM at specific strike</t>
  </si>
  <si>
    <t>Use TEXT(strike,"0") for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</si>
</sst>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8"/>
      <color rgb="FFFFFFFF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i/>
      <sz val="8"/>
      <color rgb="FF595959"/>
      <name val="Calibri"/>
    </font>
    <font>
      <b/>
      <sz val="8"/>
      <color rgb="FFFFFFFF"/>
      <name val="Calibri"/>
    </font>
    <font>
      <sz val="9"/>
      <name val="Calibri"/>
    </font>
    <font>
      <sz val="9"/>
      <color rgb="FF000000"/>
      <name val="Calibri"/>
    </font>
    <font>
      <i/>
      <sz val="8"/>
      <color rgb="FFFFFFFF"/>
      <name val="Calibri"/>
    </font>
    <font>
      <b/>
      <sz val="9"/>
      <color rgb="FF1F3864"/>
      <name val="Calibri"/>
    </font>
    <font>
      <sz val="8"/>
      <color rgb="FF000000"/>
      <name val="Calibri"/>
    </font>
    <font>
      <sz val="8"/>
      <color rgb="FF1F3864"/>
      <name val="Calibri"/>
    </font>
    <font>
      <sz val="8"/>
      <color rgb="FF595959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8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7770D"/>
      </patternFill>
    </fill>
    <fill>
      <patternFill patternType="solid">
        <fgColor rgb="FFF2F2F2"/>
      </patternFill>
    </fill>
    <fill>
      <patternFill patternType="solid">
        <fgColor rgb="FFD9EAD3"/>
      </patternFill>
    </fill>
    <fill>
      <patternFill patternType="solid">
        <fgColor rgb="FFFFFF99"/>
      </patternFill>
    </fill>
    <fill>
      <patternFill patternType="solid">
        <fgColor rgb="FFDEE5EF"/>
      </patternFill>
    </fill>
    <fill>
      <patternFill patternType="solid">
        <fgColor rgb="FFFFFFFF"/>
      </patternFill>
    </fill>
    <fill>
      <patternFill patternType="solid">
        <fgColor rgb="FFE8F3E8"/>
      </patternFill>
    </fill>
    <fill>
      <patternFill patternType="solid">
        <fgColor rgb="FFE8F0F8"/>
      </patternFill>
    </fill>
    <fill>
      <patternFill patternType="solid">
        <fgColor rgb="FFEBF3FB"/>
      </patternFill>
    </fill>
    <fill>
      <patternFill patternType="solid">
        <fgColor rgb="FFF2F7FF"/>
      </patternFill>
    </fill>
    <fill>
      <patternFill patternType="none"/>
    </fill>
    <fill>
      <patternFill patternType="solid">
        <fgColor theme="3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3">
    <xf numFmtId="0" fontId="0" fillId="13" borderId="2"/>
    <xf numFmtId="43" fontId="14" fillId="13" borderId="2"/>
    <xf numFmtId="9" fontId="14" fillId="13" borderId="2"/>
  </cellStyleXfs>
  <cellXfs count="59">
    <xf numFmtId="0" fontId="0" fillId="0" borderId="0" xfId="0" applyFill="1" applyBorder="1"/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" fontId="8" fillId="4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4" fontId="8" fillId="8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5" fillId="14" borderId="0" xfId="0" applyFont="1" applyFill="1" applyBorder="1"/>
    <xf numFmtId="0" fontId="16" fillId="14" borderId="0" xfId="0" applyFont="1" applyFill="1" applyBorder="1" applyAlignment="1">
      <alignment horizontal="left" vertical="center"/>
    </xf>
    <xf numFmtId="43" fontId="15" fillId="14" borderId="0" xfId="1" applyFont="1" applyFill="1" applyBorder="1"/>
    <xf numFmtId="43" fontId="0" fillId="0" borderId="0" xfId="1" applyFont="1" applyFill="1" applyBorder="1"/>
    <xf numFmtId="9" fontId="6" fillId="2" borderId="1" xfId="2" applyFont="1" applyFill="1" applyBorder="1" applyAlignment="1">
      <alignment horizontal="center" vertical="center" wrapText="1"/>
    </xf>
    <xf numFmtId="9" fontId="7" fillId="4" borderId="1" xfId="2" applyFont="1" applyFill="1" applyBorder="1" applyAlignment="1">
      <alignment horizontal="center" vertical="center"/>
    </xf>
    <xf numFmtId="9" fontId="7" fillId="8" borderId="1" xfId="2" applyFont="1" applyFill="1" applyBorder="1" applyAlignment="1">
      <alignment horizontal="center" vertical="center"/>
    </xf>
    <xf numFmtId="9" fontId="0" fillId="0" borderId="0" xfId="2" applyFont="1" applyFill="1" applyBorder="1"/>
    <xf numFmtId="0" fontId="7" fillId="4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9" fontId="8" fillId="4" borderId="1" xfId="2" applyFont="1" applyFill="1" applyBorder="1" applyAlignment="1">
      <alignment horizontal="center" vertical="center"/>
    </xf>
    <xf numFmtId="9" fontId="8" fillId="8" borderId="1" xfId="2" applyFont="1" applyFill="1" applyBorder="1" applyAlignment="1">
      <alignment horizontal="center" vertical="center"/>
    </xf>
    <xf numFmtId="0" fontId="1" fillId="2" borderId="2" xfId="0" applyFont="1" applyFill="1" applyAlignment="1">
      <alignment horizontal="left" vertical="center"/>
    </xf>
    <xf numFmtId="0" fontId="0" fillId="0" borderId="0" xfId="0" applyFill="1" applyBorder="1"/>
    <xf numFmtId="43" fontId="0" fillId="0" borderId="0" xfId="1" applyFont="1" applyFill="1" applyBorder="1"/>
    <xf numFmtId="0" fontId="6" fillId="2" borderId="2" xfId="0" applyFont="1" applyFill="1" applyAlignment="1">
      <alignment horizontal="center" vertical="center"/>
    </xf>
    <xf numFmtId="0" fontId="2" fillId="3" borderId="2" xfId="0" applyFont="1" applyFill="1" applyAlignment="1">
      <alignment horizontal="left" vertical="center"/>
    </xf>
    <xf numFmtId="0" fontId="8" fillId="4" borderId="2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3" xfId="0" applyFill="1" applyBorder="1"/>
    <xf numFmtId="0" fontId="9" fillId="3" borderId="2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4" xfId="0" applyFill="1" applyBorder="1"/>
    <xf numFmtId="0" fontId="5" fillId="12" borderId="2" xfId="0" applyFont="1" applyFill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9F5B1B-039C-417A-B0D4-873B503D67EA}">
  <we:reference id="5c1926c6-e184-4b7b-ab86-fb3254b07aeb" version="1.0.0.0" store="\\share.optionsamurai.com\excel" storeType="Filesystem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_xldudf_optionsamurai_stock</we:customFunctionIds>
        <we:customFunctionIds>_xldudf_optionsamurai_option</we:customFunctionIds>
        <we:customFunctionIds>_xldudf_OPTIONSAMURAI_HEADER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7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5" x14ac:dyDescent="0.25"/>
  <cols>
    <col min="1" max="2" width="8" customWidth="1"/>
    <col min="3" max="3" width="7" customWidth="1"/>
    <col min="4" max="4" width="14" customWidth="1"/>
    <col min="5" max="5" width="16" customWidth="1"/>
    <col min="6" max="6" width="7" customWidth="1"/>
    <col min="7" max="7" width="28" customWidth="1"/>
    <col min="8" max="10" width="8" customWidth="1"/>
    <col min="11" max="11" width="7" customWidth="1"/>
    <col min="12" max="12" width="8" customWidth="1"/>
    <col min="13" max="13" width="7" customWidth="1"/>
    <col min="14" max="16" width="8" customWidth="1"/>
    <col min="17" max="18" width="7" customWidth="1"/>
    <col min="19" max="19" width="8" customWidth="1"/>
    <col min="20" max="21" width="7" customWidth="1"/>
    <col min="22" max="22" width="11" customWidth="1"/>
    <col min="23" max="24" width="7" customWidth="1"/>
    <col min="25" max="25" width="8" customWidth="1"/>
    <col min="26" max="29" width="7" customWidth="1"/>
    <col min="30" max="30" width="9" customWidth="1"/>
    <col min="31" max="31" width="8" customWidth="1"/>
    <col min="32" max="32" width="7" customWidth="1"/>
    <col min="33" max="33" width="8" customWidth="1"/>
    <col min="34" max="34" width="7" customWidth="1"/>
    <col min="35" max="35" width="9" style="35" customWidth="1"/>
    <col min="36" max="38" width="9" customWidth="1"/>
    <col min="39" max="40" width="8" customWidth="1"/>
    <col min="41" max="42" width="10" customWidth="1"/>
    <col min="43" max="46" width="8" customWidth="1"/>
    <col min="47" max="47" width="11" customWidth="1"/>
  </cols>
  <sheetData>
    <row r="1" spans="1:47" ht="21.95" customHeight="1" x14ac:dyDescent="0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9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</row>
    <row r="2" spans="1:47" ht="14.1" customHeight="1" x14ac:dyDescent="0.25">
      <c r="A2" s="51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9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</row>
    <row r="3" spans="1:47" ht="15.95" customHeight="1" x14ac:dyDescent="0.25">
      <c r="A3" s="1" t="s">
        <v>2</v>
      </c>
      <c r="B3" s="32" t="s">
        <v>3</v>
      </c>
      <c r="C3" s="33" t="s">
        <v>4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4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</row>
    <row r="4" spans="1:47" ht="14.1" customHeight="1" x14ac:dyDescent="0.25">
      <c r="A4" s="50" t="s">
        <v>5</v>
      </c>
      <c r="B4" s="48"/>
      <c r="C4" s="48"/>
      <c r="D4" s="48"/>
      <c r="E4" s="3"/>
      <c r="F4" s="50" t="s">
        <v>6</v>
      </c>
      <c r="G4" s="48"/>
      <c r="H4" s="48"/>
      <c r="I4" s="48"/>
      <c r="J4" s="50" t="s">
        <v>7</v>
      </c>
      <c r="K4" s="48"/>
      <c r="L4" s="48"/>
      <c r="M4" s="48"/>
      <c r="N4" s="48"/>
      <c r="O4" s="48"/>
      <c r="P4" s="50" t="s">
        <v>8</v>
      </c>
      <c r="Q4" s="48"/>
      <c r="R4" s="48"/>
      <c r="S4" s="50" t="s">
        <v>9</v>
      </c>
      <c r="T4" s="48"/>
      <c r="U4" s="48"/>
      <c r="V4" s="2" t="s">
        <v>10</v>
      </c>
      <c r="W4" s="50" t="s">
        <v>11</v>
      </c>
      <c r="X4" s="48"/>
      <c r="Y4" s="48"/>
      <c r="Z4" s="48"/>
      <c r="AA4" s="48"/>
      <c r="AB4" s="48"/>
      <c r="AC4" s="48"/>
      <c r="AD4" s="48"/>
      <c r="AE4" s="50" t="s">
        <v>12</v>
      </c>
      <c r="AF4" s="48"/>
      <c r="AG4" s="48"/>
      <c r="AH4" s="48"/>
      <c r="AI4" s="50" t="s">
        <v>13</v>
      </c>
      <c r="AJ4" s="48"/>
      <c r="AK4" s="48"/>
      <c r="AL4" s="50" t="s">
        <v>14</v>
      </c>
      <c r="AM4" s="48"/>
      <c r="AN4" s="48"/>
      <c r="AO4" s="48"/>
      <c r="AP4" s="48"/>
      <c r="AQ4" s="50" t="s">
        <v>15</v>
      </c>
      <c r="AR4" s="48"/>
      <c r="AS4" s="48"/>
      <c r="AT4" s="48"/>
      <c r="AU4" s="48"/>
    </row>
    <row r="5" spans="1:47" ht="39.950000000000003" customHeight="1" x14ac:dyDescent="0.25">
      <c r="A5" s="3" t="s">
        <v>16</v>
      </c>
      <c r="B5" s="3" t="s">
        <v>17</v>
      </c>
      <c r="C5" s="3" t="s">
        <v>18</v>
      </c>
      <c r="D5" s="42" t="s">
        <v>19</v>
      </c>
      <c r="E5" s="3" t="s">
        <v>20</v>
      </c>
      <c r="F5" s="3" t="s">
        <v>21</v>
      </c>
      <c r="G5" s="3" t="s">
        <v>22</v>
      </c>
      <c r="H5" s="36" t="s">
        <v>23</v>
      </c>
      <c r="I5" s="36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6" t="s">
        <v>30</v>
      </c>
      <c r="P5" s="3" t="s">
        <v>31</v>
      </c>
      <c r="Q5" s="3" t="s">
        <v>32</v>
      </c>
      <c r="R5" s="36" t="s">
        <v>33</v>
      </c>
      <c r="S5" s="3" t="s">
        <v>34</v>
      </c>
      <c r="T5" s="3" t="s">
        <v>35</v>
      </c>
      <c r="U5" s="36" t="s">
        <v>36</v>
      </c>
      <c r="V5" s="3" t="s">
        <v>37</v>
      </c>
      <c r="W5" s="36" t="s">
        <v>38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6" t="s">
        <v>50</v>
      </c>
      <c r="AJ5" s="36" t="s">
        <v>51</v>
      </c>
      <c r="AK5" s="36" t="s">
        <v>52</v>
      </c>
      <c r="AL5" s="36" t="s">
        <v>53</v>
      </c>
      <c r="AM5" s="36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  <c r="AS5" s="3" t="s">
        <v>60</v>
      </c>
      <c r="AT5" s="3" t="s">
        <v>61</v>
      </c>
      <c r="AU5" s="3" t="s">
        <v>62</v>
      </c>
    </row>
    <row r="6" spans="1:47" ht="15" customHeight="1" x14ac:dyDescent="0.25">
      <c r="A6" s="4" t="s">
        <v>63</v>
      </c>
      <c r="B6" s="4">
        <f t="shared" ref="B6:B25" si="0">_xldudf_optionsamurai_stock(A6,"stock_last")</f>
        <v>11.61</v>
      </c>
      <c r="C6" s="4">
        <f t="shared" ref="C6:C25" si="1">_xldudf_optionsamurai_stock(A6,"stock_iv")</f>
        <v>0.64410000000000001</v>
      </c>
      <c r="D6" s="40" t="str">
        <f t="shared" ref="D6:D25" si="2">_xldudf_optionsamurai_stock(A6,"sector")</f>
        <v>Communication Services</v>
      </c>
      <c r="E6" s="40" t="str">
        <f t="shared" ref="E6:E25" si="3">_xldudf_optionsamurai_stock(A6,"industry")</f>
        <v>Entertainment</v>
      </c>
      <c r="F6" s="4">
        <f t="shared" ref="F6:F25" si="4">IF(AND(ISNUMBER(_xldudf_optionsamurai_stock(A6,"sma_50d")),ISNUMBER(_xldudf_optionsamurai_stock(A6,"sma_200d")),ISNUMBER(_xldudf_optionsamurai_stock(A6,"perf_m")),ISNUMBER(_xldudf_optionsamurai_stock(A6,"perf_q"))),(_xldudf_optionsamurai_stock(A6,"sma_50d")&gt;0)*1+(_xldudf_optionsamurai_stock(A6,"sma_200d")&gt;0)*1+(_xldudf_optionsamurai_stock(A6,"perf_m")&gt;0)*1+(_xldudf_optionsamurai_stock(A6,"perf_q")&gt;0)*1,"")</f>
        <v>3</v>
      </c>
      <c r="G6" s="40" t="str">
        <f t="shared" ref="G6:G25" si="5">IF(ISNUMBER(_xldudf_optionsamurai_stock(A6,"sma_50d")),"50d:"&amp;TEXT(_xldudf_optionsamurai_stock(A6,"sma_50d"),"0.0%")&amp;" 200d:"&amp;TEXT(_xldudf_optionsamurai_stock(A6,"sma_200d"),"0.0%")&amp;" 1m:"&amp;TEXT(_xldudf_optionsamurai_stock(A6,"perf_m"),"0.0%")&amp;" 3m:"&amp;TEXT(_xldudf_optionsamurai_stock(A6,"perf_q"),"0.0%"),"")</f>
        <v>50d:10.3% 200d:-14.4% 1m:26.9% 3m:0.5%</v>
      </c>
      <c r="H6" s="37">
        <f t="shared" ref="H6:H25" si="6">_xldudf_optionsamurai_stock(A6,"perf_m")</f>
        <v>0.26889999999999997</v>
      </c>
      <c r="I6" s="37">
        <f t="shared" ref="I6:I25" si="7">_xldudf_optionsamurai_stock(A6,"perf_q")</f>
        <v>5.1999999999999998E-3</v>
      </c>
      <c r="J6" s="4">
        <f t="shared" ref="J6:J25" si="8">_xldudf_optionsamurai_option(A6,"CALL",$B$3,"1.5%","strike")</f>
        <v>12</v>
      </c>
      <c r="K6" s="4">
        <f t="shared" ref="K6:K25" si="9">_xldudf_optionsamurai_option(A6,"CALL",$B$3,"1.5%","bid")</f>
        <v>0.38</v>
      </c>
      <c r="L6" s="4">
        <f t="shared" ref="L6:L25" si="10">_xldudf_optionsamurai_option(A6,"PUT",$B$3,"-1.5%","strike")</f>
        <v>11.5</v>
      </c>
      <c r="M6" s="4">
        <f t="shared" ref="M6:M25" si="11">_xldudf_optionsamurai_option(A6,"PUT",$B$3,"-1.5%","bid")</f>
        <v>0.55000000000000004</v>
      </c>
      <c r="N6" s="4">
        <f t="shared" ref="N6:N25" si="12">K6+M6</f>
        <v>0.93</v>
      </c>
      <c r="O6" s="37">
        <f t="shared" ref="O6:O25" si="13">IF(B6&gt;0,N6/B6,"")</f>
        <v>8.0103359173126623E-2</v>
      </c>
      <c r="P6" s="4">
        <f t="shared" ref="P6:P25" si="14">_xldudf_optionsamurai_option(A6,"CALL",$B$3,"1.5%","strike")</f>
        <v>12</v>
      </c>
      <c r="Q6" s="4">
        <f t="shared" ref="Q6:Q25" si="15">_xldudf_optionsamurai_option(A6,"CALL",$B$3,"1.5%","bid")</f>
        <v>0.38</v>
      </c>
      <c r="R6" s="37">
        <f t="shared" ref="R6:R25" si="16">IF(B6&gt;0,Q6/B6,"")</f>
        <v>3.273040482342808E-2</v>
      </c>
      <c r="S6" s="4">
        <f t="shared" ref="S6:S25" si="17">_xldudf_optionsamurai_option(A6,"PUT",$B$3,"-1.5%","strike")</f>
        <v>11.5</v>
      </c>
      <c r="T6" s="4">
        <f t="shared" ref="T6:T25" si="18">_xldudf_optionsamurai_option(A6,"PUT",$B$3,"-1.5%","bid")</f>
        <v>0.55000000000000004</v>
      </c>
      <c r="U6" s="37">
        <f t="shared" ref="U6:U25" si="19">IF(B6&gt;0,T6/B6,"")</f>
        <v>4.7372954349698543E-2</v>
      </c>
      <c r="V6" s="4" t="str">
        <f t="shared" ref="V6:V25" si="20">_xldudf_optionsamurai_stock(A6,"earnings_date")</f>
        <v>2026-05-04</v>
      </c>
      <c r="W6" s="37">
        <f t="shared" ref="W6:W25" si="21">_xldudf_optionsamurai_option(A6,"CALL",$B$3,"1.5%","delta")</f>
        <v>0.436025</v>
      </c>
      <c r="X6" s="37">
        <f t="shared" ref="X6:X25" si="22">ABS(_xldudf_optionsamurai_option(A6,"PUT",$B$3,"-1.5%","delta"))</f>
        <v>0.440604</v>
      </c>
      <c r="Y6" s="37">
        <f t="shared" ref="Y6:Y25" si="23">IF(AND(ISNUMBER(W6),ISNUMBER(X6)),1-W6-X6,"")</f>
        <v>0.12337100000000001</v>
      </c>
      <c r="Z6" s="37">
        <f t="shared" ref="Z6:Z25" si="24">IF(ISNUMBER(Y6),1-Y6,"")</f>
        <v>0.87662899999999999</v>
      </c>
      <c r="AA6" s="37">
        <f t="shared" ref="AA6:AA25" si="25">IF(AND(ISNUMBER(J6),ISNUMBER(B6),B6&gt;0),(J6-B6)/B6,"")</f>
        <v>3.3591731266149921E-2</v>
      </c>
      <c r="AB6" s="37">
        <f t="shared" ref="AB6:AB25" si="26">IF(AND(ISNUMBER(L6),ISNUMBER(B6),B6&gt;0),(B6-L6)/B6,"")</f>
        <v>9.4745908699396583E-3</v>
      </c>
      <c r="AC6" s="4">
        <f t="shared" ref="AC6:AC25" si="27">IF(AND(ISNUMBER(J6),ISNUMBER(L6)),J6-L6,"")</f>
        <v>0.5</v>
      </c>
      <c r="AD6" s="4" t="str">
        <f t="shared" ref="AD6:AD25" si="28">IF(AND(ISNUMBER(Y6),Y6&gt;0.05,ISNUMBER(AA6),AA6&gt;0.015,ISNUMBER(AB6),AB6&gt;0.015,ISNUMBER(W6),W6&lt;0.5,ISNUMBER(X6),X6&lt;0.5,ISNUMBER(AC6),AC6&gt;0,ISNUMBER(F6),F6&gt;=2),"✅ YES","🚫 NO")</f>
        <v>🚫 NO</v>
      </c>
      <c r="AE6" s="4">
        <f t="shared" ref="AE6:AE25" si="29">_xldudf_optionsamurai_option(A6,"CALL",$B$3,"25d","strike")</f>
        <v>13</v>
      </c>
      <c r="AF6" s="4">
        <f t="shared" ref="AF6:AF25" si="30">_xldudf_optionsamurai_option(A6,"CALL",$B$3,"25d","bid")</f>
        <v>0.21</v>
      </c>
      <c r="AG6" s="4">
        <f t="shared" ref="AG6:AG25" si="31">_xldudf_optionsamurai_option(A6,"PUT",$B$3,"25d","strike")</f>
        <v>10.5</v>
      </c>
      <c r="AH6" s="4">
        <f t="shared" ref="AH6:AH25" si="32">_xldudf_optionsamurai_option(A6,"PUT",$B$3,"25d","bid")</f>
        <v>0.22</v>
      </c>
      <c r="AI6" s="37">
        <f t="shared" ref="AI6:AI25" si="33">_xldudf_optionsamurai_option(A6,"CALL",$B$3,TEXT(J6,"0"),"prob_otm")</f>
        <v>0.61668999999999996</v>
      </c>
      <c r="AJ6" s="37">
        <f t="shared" ref="AJ6:AJ25" si="34">_xldudf_optionsamurai_option(A6,"PUT",$B$3,TEXT(L6,"0"),"prob_otm")</f>
        <v>0.38330999999999998</v>
      </c>
      <c r="AK6" s="37">
        <f t="shared" ref="AK6:AK25" si="35">IF(AND(ISNUMBER(AI6),ISNUMBER(AJ6)),AI6*AJ6,"")</f>
        <v>0.23638344389999996</v>
      </c>
      <c r="AL6" s="37" t="str">
        <f t="shared" ref="AL6:AL25" si="36">_xldudf_optionsamurai_stock(A6,"stock_iv_rv_pr")</f>
        <v>N/A</v>
      </c>
      <c r="AM6" s="37">
        <f t="shared" ref="AM6:AM25" si="37">_xldudf_optionsamurai_stock(A6,"atr_percent")</f>
        <v>4.2204999999999999E-2</v>
      </c>
      <c r="AN6" s="5">
        <f t="shared" ref="AN6:AN25" si="38">_xldudf_optionsamurai_stock(A6,"short_ratio")</f>
        <v>6.02</v>
      </c>
      <c r="AO6" s="43" t="str">
        <f t="shared" ref="AO6:AO25" si="39">IF(ISNUMBER(AL6),IF(AL6&gt;=0.6,"🟢 IV&gt;RV",IF(AL6&gt;=0.3,"🟡 Moderate","🔴 IV&lt;RV")),"")</f>
        <v/>
      </c>
      <c r="AP6" s="43" t="str">
        <f t="shared" ref="AP6:AP25" si="40">IF(ISNUMBER(AM6),IF(AM6&lt;=0.02,"🟢 Smooth",IF(AM6&lt;=0.04,"🟡 Moderate","🔴 Choppy")),"")</f>
        <v>🔴 Choppy</v>
      </c>
      <c r="AQ6" s="6"/>
      <c r="AR6" s="6"/>
      <c r="AS6" s="7" t="str">
        <f t="shared" ref="AS6:AS25" si="41">IF(ISNUMBER(AQ6),MAX(0,B6-J6),"")</f>
        <v/>
      </c>
      <c r="AT6" s="7" t="str">
        <f t="shared" ref="AT6:AT25" si="42">IF(ISNUMBER(AR6),MAX(0,L6-B6),"")</f>
        <v/>
      </c>
      <c r="AU6" s="7" t="str">
        <f t="shared" ref="AU6:AU25" si="43">IF(AND(ISNUMBER(AQ6),ISNUMBER(AR6)),(AQ6+AR6-IF(ISNUMBER(AS6),AS6,0)-IF(ISNUMBER(AT6),AT6,0))*100,"")</f>
        <v/>
      </c>
    </row>
    <row r="7" spans="1:47" ht="15" customHeight="1" x14ac:dyDescent="0.25">
      <c r="A7" s="8" t="s">
        <v>64</v>
      </c>
      <c r="B7" s="8">
        <f t="shared" si="0"/>
        <v>110.17</v>
      </c>
      <c r="C7" s="8">
        <f t="shared" si="1"/>
        <v>0.4083</v>
      </c>
      <c r="D7" s="41" t="str">
        <f t="shared" si="2"/>
        <v>Consumer Cyclical</v>
      </c>
      <c r="E7" s="41" t="str">
        <f t="shared" si="3"/>
        <v>Footwear &amp; Accessories</v>
      </c>
      <c r="F7" s="8">
        <f t="shared" si="4"/>
        <v>4</v>
      </c>
      <c r="G7" s="41" t="str">
        <f t="shared" si="5"/>
        <v>50d:2.0% 200d:6.5% 1m:9.7% 3m:12.4%</v>
      </c>
      <c r="H7" s="38">
        <f t="shared" si="6"/>
        <v>9.7000000000000003E-2</v>
      </c>
      <c r="I7" s="38">
        <f t="shared" si="7"/>
        <v>0.1244</v>
      </c>
      <c r="J7" s="8">
        <f t="shared" si="8"/>
        <v>112</v>
      </c>
      <c r="K7" s="8">
        <f t="shared" si="9"/>
        <v>2.7</v>
      </c>
      <c r="L7" s="8">
        <f t="shared" si="10"/>
        <v>109</v>
      </c>
      <c r="M7" s="8">
        <f t="shared" si="11"/>
        <v>2.85</v>
      </c>
      <c r="N7" s="8">
        <f t="shared" si="12"/>
        <v>5.5500000000000007</v>
      </c>
      <c r="O7" s="38">
        <f t="shared" si="13"/>
        <v>5.0376690569120454E-2</v>
      </c>
      <c r="P7" s="8">
        <f t="shared" si="14"/>
        <v>112</v>
      </c>
      <c r="Q7" s="8">
        <f t="shared" si="15"/>
        <v>2.7</v>
      </c>
      <c r="R7" s="38">
        <f t="shared" si="16"/>
        <v>2.4507579195788328E-2</v>
      </c>
      <c r="S7" s="8">
        <f t="shared" si="17"/>
        <v>109</v>
      </c>
      <c r="T7" s="8">
        <f t="shared" si="18"/>
        <v>2.85</v>
      </c>
      <c r="U7" s="38">
        <f t="shared" si="19"/>
        <v>2.5869111373332122E-2</v>
      </c>
      <c r="V7" s="8" t="str">
        <f t="shared" si="20"/>
        <v>2026-05-21</v>
      </c>
      <c r="W7" s="38">
        <f t="shared" si="21"/>
        <v>0.445216</v>
      </c>
      <c r="X7" s="38">
        <f t="shared" si="22"/>
        <v>0.42563699999999999</v>
      </c>
      <c r="Y7" s="38">
        <f t="shared" si="23"/>
        <v>0.12914699999999996</v>
      </c>
      <c r="Z7" s="38">
        <f t="shared" si="24"/>
        <v>0.8708530000000001</v>
      </c>
      <c r="AA7" s="38">
        <f t="shared" si="25"/>
        <v>1.6610692566034296E-2</v>
      </c>
      <c r="AB7" s="38">
        <f t="shared" si="26"/>
        <v>1.0619950984841624E-2</v>
      </c>
      <c r="AC7" s="8">
        <f t="shared" si="27"/>
        <v>3</v>
      </c>
      <c r="AD7" s="8" t="str">
        <f t="shared" si="28"/>
        <v>🚫 NO</v>
      </c>
      <c r="AE7" s="8">
        <f t="shared" si="29"/>
        <v>125</v>
      </c>
      <c r="AF7" s="8" t="str">
        <f t="shared" si="30"/>
        <v>N/A</v>
      </c>
      <c r="AG7" s="8">
        <f t="shared" si="31"/>
        <v>104</v>
      </c>
      <c r="AH7" s="8">
        <f t="shared" si="32"/>
        <v>1.25</v>
      </c>
      <c r="AI7" s="38">
        <f t="shared" si="33"/>
        <v>0.58453999999999995</v>
      </c>
      <c r="AJ7" s="38">
        <f t="shared" si="34"/>
        <v>0.53883400000000004</v>
      </c>
      <c r="AK7" s="38">
        <f t="shared" si="35"/>
        <v>0.31497002635999999</v>
      </c>
      <c r="AL7" s="38">
        <f t="shared" si="36"/>
        <v>0.60317500000000002</v>
      </c>
      <c r="AM7" s="38">
        <f t="shared" si="37"/>
        <v>3.5217999999999999E-2</v>
      </c>
      <c r="AN7" s="9">
        <f t="shared" si="38"/>
        <v>1.57</v>
      </c>
      <c r="AO7" s="44" t="str">
        <f t="shared" si="39"/>
        <v>🟢 IV&gt;RV</v>
      </c>
      <c r="AP7" s="44" t="str">
        <f t="shared" si="40"/>
        <v>🟡 Moderate</v>
      </c>
      <c r="AQ7" s="6"/>
      <c r="AR7" s="6"/>
      <c r="AS7" s="10" t="str">
        <f t="shared" si="41"/>
        <v/>
      </c>
      <c r="AT7" s="10" t="str">
        <f t="shared" si="42"/>
        <v/>
      </c>
      <c r="AU7" s="10" t="str">
        <f t="shared" si="43"/>
        <v/>
      </c>
    </row>
    <row r="8" spans="1:47" ht="15" customHeight="1" x14ac:dyDescent="0.25">
      <c r="A8" s="4" t="s">
        <v>65</v>
      </c>
      <c r="B8" s="4">
        <f t="shared" si="0"/>
        <v>24.46</v>
      </c>
      <c r="C8" s="4">
        <f t="shared" si="1"/>
        <v>0.44800000000000001</v>
      </c>
      <c r="D8" s="40" t="str">
        <f t="shared" si="2"/>
        <v>Consumer Cyclical</v>
      </c>
      <c r="E8" s="40" t="str">
        <f t="shared" si="3"/>
        <v>Specialty Retail</v>
      </c>
      <c r="F8" s="4">
        <f t="shared" si="4"/>
        <v>4</v>
      </c>
      <c r="G8" s="40" t="str">
        <f t="shared" si="5"/>
        <v>50d:3.2% 200d:5.6% 1m:8.4% 3m:15.9%</v>
      </c>
      <c r="H8" s="37">
        <f t="shared" si="6"/>
        <v>8.3699999999999997E-2</v>
      </c>
      <c r="I8" s="37">
        <f t="shared" si="7"/>
        <v>0.15920000000000001</v>
      </c>
      <c r="J8" s="4">
        <f t="shared" si="8"/>
        <v>25</v>
      </c>
      <c r="K8" s="4">
        <f t="shared" si="9"/>
        <v>0.64</v>
      </c>
      <c r="L8" s="4">
        <f t="shared" si="10"/>
        <v>24</v>
      </c>
      <c r="M8" s="4">
        <f t="shared" si="11"/>
        <v>0.37</v>
      </c>
      <c r="N8" s="4">
        <f t="shared" si="12"/>
        <v>1.01</v>
      </c>
      <c r="O8" s="37">
        <f t="shared" si="13"/>
        <v>4.1291905151267377E-2</v>
      </c>
      <c r="P8" s="4">
        <f t="shared" si="14"/>
        <v>25</v>
      </c>
      <c r="Q8" s="4">
        <f t="shared" si="15"/>
        <v>0.64</v>
      </c>
      <c r="R8" s="37">
        <f t="shared" si="16"/>
        <v>2.616516762060507E-2</v>
      </c>
      <c r="S8" s="4">
        <f t="shared" si="17"/>
        <v>24</v>
      </c>
      <c r="T8" s="4">
        <f t="shared" si="18"/>
        <v>0.37</v>
      </c>
      <c r="U8" s="37">
        <f t="shared" si="19"/>
        <v>1.5126737530662305E-2</v>
      </c>
      <c r="V8" s="4" t="str">
        <f t="shared" si="20"/>
        <v>2026-06-09</v>
      </c>
      <c r="W8" s="37">
        <f t="shared" si="21"/>
        <v>0.43008600000000002</v>
      </c>
      <c r="X8" s="37">
        <f t="shared" si="22"/>
        <v>0.37150100000000003</v>
      </c>
      <c r="Y8" s="37">
        <f t="shared" si="23"/>
        <v>0.19841300000000001</v>
      </c>
      <c r="Z8" s="37">
        <f t="shared" si="24"/>
        <v>0.80158700000000005</v>
      </c>
      <c r="AA8" s="37">
        <f t="shared" si="25"/>
        <v>2.2076860179885492E-2</v>
      </c>
      <c r="AB8" s="37">
        <f t="shared" si="26"/>
        <v>1.8806214227309929E-2</v>
      </c>
      <c r="AC8" s="4">
        <f t="shared" si="27"/>
        <v>1</v>
      </c>
      <c r="AD8" s="4" t="str">
        <f t="shared" si="28"/>
        <v>✅ YES</v>
      </c>
      <c r="AE8" s="4">
        <f t="shared" si="29"/>
        <v>26.5</v>
      </c>
      <c r="AF8" s="4">
        <f t="shared" si="30"/>
        <v>0.19</v>
      </c>
      <c r="AG8" s="4">
        <f t="shared" si="31"/>
        <v>23.5</v>
      </c>
      <c r="AH8" s="4">
        <f t="shared" si="32"/>
        <v>0.22</v>
      </c>
      <c r="AI8" s="37">
        <f t="shared" si="33"/>
        <v>0.60204800000000003</v>
      </c>
      <c r="AJ8" s="37">
        <f t="shared" si="34"/>
        <v>0.56648500000000002</v>
      </c>
      <c r="AK8" s="37">
        <f t="shared" si="35"/>
        <v>0.34105116128000001</v>
      </c>
      <c r="AL8" s="37">
        <f t="shared" si="36"/>
        <v>0.488095</v>
      </c>
      <c r="AM8" s="37">
        <f t="shared" si="37"/>
        <v>3.2705999999999999E-2</v>
      </c>
      <c r="AN8" s="5">
        <f t="shared" si="38"/>
        <v>8.1300000000000008</v>
      </c>
      <c r="AO8" s="43" t="str">
        <f t="shared" si="39"/>
        <v>🟡 Moderate</v>
      </c>
      <c r="AP8" s="43" t="str">
        <f t="shared" si="40"/>
        <v>🟡 Moderate</v>
      </c>
      <c r="AQ8" s="6"/>
      <c r="AR8" s="6"/>
      <c r="AS8" s="7" t="str">
        <f t="shared" si="41"/>
        <v/>
      </c>
      <c r="AT8" s="7" t="str">
        <f t="shared" si="42"/>
        <v/>
      </c>
      <c r="AU8" s="7" t="str">
        <f t="shared" si="43"/>
        <v/>
      </c>
    </row>
    <row r="9" spans="1:47" ht="15" customHeight="1" x14ac:dyDescent="0.25">
      <c r="A9" s="8" t="s">
        <v>66</v>
      </c>
      <c r="B9" s="8">
        <f t="shared" si="0"/>
        <v>30.52</v>
      </c>
      <c r="C9" s="8">
        <f t="shared" si="1"/>
        <v>0.44629999999999997</v>
      </c>
      <c r="D9" s="41" t="str">
        <f t="shared" si="2"/>
        <v>Consumer Cyclical</v>
      </c>
      <c r="E9" s="41" t="str">
        <f t="shared" si="3"/>
        <v>Internet Retail</v>
      </c>
      <c r="F9" s="8">
        <f t="shared" si="4"/>
        <v>3</v>
      </c>
      <c r="G9" s="41" t="str">
        <f t="shared" si="5"/>
        <v>50d:8.0% 200d:-0.4% 1m:11.9% 3m:7.5%</v>
      </c>
      <c r="H9" s="38">
        <f t="shared" si="6"/>
        <v>0.1192</v>
      </c>
      <c r="I9" s="38">
        <f t="shared" si="7"/>
        <v>7.5399999999999995E-2</v>
      </c>
      <c r="J9" s="8">
        <f t="shared" si="8"/>
        <v>31</v>
      </c>
      <c r="K9" s="8">
        <f t="shared" si="9"/>
        <v>0.65</v>
      </c>
      <c r="L9" s="8">
        <f t="shared" si="10"/>
        <v>30</v>
      </c>
      <c r="M9" s="8">
        <f t="shared" si="11"/>
        <v>0.66</v>
      </c>
      <c r="N9" s="8">
        <f t="shared" si="12"/>
        <v>1.31</v>
      </c>
      <c r="O9" s="38">
        <f t="shared" si="13"/>
        <v>4.2922673656618615E-2</v>
      </c>
      <c r="P9" s="8">
        <f t="shared" si="14"/>
        <v>31</v>
      </c>
      <c r="Q9" s="8">
        <f t="shared" si="15"/>
        <v>0.65</v>
      </c>
      <c r="R9" s="38">
        <f t="shared" si="16"/>
        <v>2.1297509829619924E-2</v>
      </c>
      <c r="S9" s="8">
        <f t="shared" si="17"/>
        <v>30</v>
      </c>
      <c r="T9" s="8">
        <f t="shared" si="18"/>
        <v>0.66</v>
      </c>
      <c r="U9" s="38">
        <f t="shared" si="19"/>
        <v>2.1625163826998691E-2</v>
      </c>
      <c r="V9" s="8" t="str">
        <f t="shared" si="20"/>
        <v>2026-05-12</v>
      </c>
      <c r="W9" s="38">
        <f t="shared" si="21"/>
        <v>0.45746700000000001</v>
      </c>
      <c r="X9" s="38">
        <f t="shared" si="22"/>
        <v>0.39178099999999999</v>
      </c>
      <c r="Y9" s="38">
        <f t="shared" si="23"/>
        <v>0.15075199999999994</v>
      </c>
      <c r="Z9" s="38">
        <f t="shared" si="24"/>
        <v>0.849248</v>
      </c>
      <c r="AA9" s="38">
        <f t="shared" si="25"/>
        <v>1.5727391874180881E-2</v>
      </c>
      <c r="AB9" s="38">
        <f t="shared" si="26"/>
        <v>1.7038007863695925E-2</v>
      </c>
      <c r="AC9" s="8">
        <f t="shared" si="27"/>
        <v>1</v>
      </c>
      <c r="AD9" s="8" t="str">
        <f t="shared" si="28"/>
        <v>✅ YES</v>
      </c>
      <c r="AE9" s="8">
        <f t="shared" si="29"/>
        <v>37</v>
      </c>
      <c r="AF9" s="8" t="str">
        <f t="shared" si="30"/>
        <v>N/A</v>
      </c>
      <c r="AG9" s="8">
        <f t="shared" si="31"/>
        <v>29</v>
      </c>
      <c r="AH9" s="8">
        <f t="shared" si="32"/>
        <v>0.33</v>
      </c>
      <c r="AI9" s="38">
        <f t="shared" si="33"/>
        <v>0.57690799999999998</v>
      </c>
      <c r="AJ9" s="38">
        <f t="shared" si="34"/>
        <v>0.55945400000000001</v>
      </c>
      <c r="AK9" s="38">
        <f t="shared" si="35"/>
        <v>0.32275348823200001</v>
      </c>
      <c r="AL9" s="38">
        <f t="shared" si="36"/>
        <v>0.27381</v>
      </c>
      <c r="AM9" s="38">
        <f t="shared" si="37"/>
        <v>2.7195E-2</v>
      </c>
      <c r="AN9" s="9">
        <f t="shared" si="38"/>
        <v>2.42</v>
      </c>
      <c r="AO9" s="44" t="str">
        <f t="shared" si="39"/>
        <v>🔴 IV&lt;RV</v>
      </c>
      <c r="AP9" s="44" t="str">
        <f t="shared" si="40"/>
        <v>🟡 Moderate</v>
      </c>
      <c r="AQ9" s="6"/>
      <c r="AR9" s="6"/>
      <c r="AS9" s="10" t="str">
        <f t="shared" si="41"/>
        <v/>
      </c>
      <c r="AT9" s="10" t="str">
        <f t="shared" si="42"/>
        <v/>
      </c>
      <c r="AU9" s="10" t="str">
        <f t="shared" si="43"/>
        <v/>
      </c>
    </row>
    <row r="10" spans="1:47" ht="15" customHeight="1" x14ac:dyDescent="0.25">
      <c r="A10" s="4" t="s">
        <v>67</v>
      </c>
      <c r="B10" s="4">
        <f t="shared" si="0"/>
        <v>74.709999999999994</v>
      </c>
      <c r="C10" s="4">
        <f t="shared" si="1"/>
        <v>0.4476</v>
      </c>
      <c r="D10" s="40" t="str">
        <f t="shared" si="2"/>
        <v>Consumer Cyclical</v>
      </c>
      <c r="E10" s="40" t="str">
        <f t="shared" si="3"/>
        <v>Apparel Retail</v>
      </c>
      <c r="F10" s="4">
        <f t="shared" si="4"/>
        <v>4</v>
      </c>
      <c r="G10" s="40" t="str">
        <f t="shared" si="5"/>
        <v>50d:12.3% 200d:5.5% 1m:17.9% 3m:6.3%</v>
      </c>
      <c r="H10" s="37">
        <f t="shared" si="6"/>
        <v>0.17860000000000001</v>
      </c>
      <c r="I10" s="37">
        <f t="shared" si="7"/>
        <v>6.2899999999999998E-2</v>
      </c>
      <c r="J10" s="4">
        <f t="shared" si="8"/>
        <v>76</v>
      </c>
      <c r="K10" s="4">
        <f t="shared" si="9"/>
        <v>2.1</v>
      </c>
      <c r="L10" s="4">
        <f t="shared" si="10"/>
        <v>74</v>
      </c>
      <c r="M10" s="4">
        <f t="shared" si="11"/>
        <v>2.15</v>
      </c>
      <c r="N10" s="4">
        <f t="shared" si="12"/>
        <v>4.25</v>
      </c>
      <c r="O10" s="37">
        <f t="shared" si="13"/>
        <v>5.6886628296078171E-2</v>
      </c>
      <c r="P10" s="4">
        <f t="shared" si="14"/>
        <v>76</v>
      </c>
      <c r="Q10" s="4">
        <f t="shared" si="15"/>
        <v>2.1</v>
      </c>
      <c r="R10" s="37">
        <f t="shared" si="16"/>
        <v>2.810868692276804E-2</v>
      </c>
      <c r="S10" s="4">
        <f t="shared" si="17"/>
        <v>74</v>
      </c>
      <c r="T10" s="4">
        <f t="shared" si="18"/>
        <v>2.15</v>
      </c>
      <c r="U10" s="37">
        <f t="shared" si="19"/>
        <v>2.8777941373310134E-2</v>
      </c>
      <c r="V10" s="4" t="str">
        <f t="shared" si="20"/>
        <v>2026-05-20</v>
      </c>
      <c r="W10" s="37">
        <f t="shared" si="21"/>
        <v>0.45530900000000002</v>
      </c>
      <c r="X10" s="37">
        <f t="shared" si="22"/>
        <v>0.43464999999999998</v>
      </c>
      <c r="Y10" s="37">
        <f t="shared" si="23"/>
        <v>0.11004100000000006</v>
      </c>
      <c r="Z10" s="37">
        <f t="shared" si="24"/>
        <v>0.88995899999999994</v>
      </c>
      <c r="AA10" s="37">
        <f t="shared" si="25"/>
        <v>1.7266764823986164E-2</v>
      </c>
      <c r="AB10" s="37">
        <f t="shared" si="26"/>
        <v>9.5034131976976816E-3</v>
      </c>
      <c r="AC10" s="4">
        <f t="shared" si="27"/>
        <v>2</v>
      </c>
      <c r="AD10" s="4" t="str">
        <f t="shared" si="28"/>
        <v>🚫 NO</v>
      </c>
      <c r="AE10" s="4">
        <f t="shared" si="29"/>
        <v>80</v>
      </c>
      <c r="AF10" s="4">
        <f t="shared" si="30"/>
        <v>0.7</v>
      </c>
      <c r="AG10" s="4">
        <f t="shared" si="31"/>
        <v>70</v>
      </c>
      <c r="AH10" s="4">
        <f t="shared" si="32"/>
        <v>0.75</v>
      </c>
      <c r="AI10" s="37">
        <f t="shared" si="33"/>
        <v>0.58298899999999998</v>
      </c>
      <c r="AJ10" s="37">
        <f t="shared" si="34"/>
        <v>0.52754999999999996</v>
      </c>
      <c r="AK10" s="37">
        <f t="shared" si="35"/>
        <v>0.30755584694999999</v>
      </c>
      <c r="AL10" s="37">
        <f t="shared" si="36"/>
        <v>0.53571400000000002</v>
      </c>
      <c r="AM10" s="37">
        <f t="shared" si="37"/>
        <v>3.8951E-2</v>
      </c>
      <c r="AN10" s="5">
        <f t="shared" si="38"/>
        <v>4.92</v>
      </c>
      <c r="AO10" s="43" t="str">
        <f t="shared" si="39"/>
        <v>🟡 Moderate</v>
      </c>
      <c r="AP10" s="43" t="str">
        <f t="shared" si="40"/>
        <v>🟡 Moderate</v>
      </c>
      <c r="AQ10" s="6"/>
      <c r="AR10" s="6"/>
      <c r="AS10" s="7" t="str">
        <f t="shared" si="41"/>
        <v/>
      </c>
      <c r="AT10" s="7" t="str">
        <f t="shared" si="42"/>
        <v/>
      </c>
      <c r="AU10" s="7" t="str">
        <f t="shared" si="43"/>
        <v/>
      </c>
    </row>
    <row r="11" spans="1:47" ht="15" customHeight="1" x14ac:dyDescent="0.25">
      <c r="A11" s="8" t="s">
        <v>68</v>
      </c>
      <c r="B11" s="8">
        <f t="shared" si="0"/>
        <v>72.78</v>
      </c>
      <c r="C11" s="8">
        <f t="shared" si="1"/>
        <v>0.31569999999999998</v>
      </c>
      <c r="D11" s="41" t="str">
        <f t="shared" si="2"/>
        <v>Consumer Defensive</v>
      </c>
      <c r="E11" s="41" t="str">
        <f t="shared" si="3"/>
        <v>Beverages - Brewers</v>
      </c>
      <c r="F11" s="8">
        <f t="shared" si="4"/>
        <v>3</v>
      </c>
      <c r="G11" s="41" t="str">
        <f t="shared" si="5"/>
        <v>50d:-2.0% 200d:10.0% 1m:7.9% 3m:5.7%</v>
      </c>
      <c r="H11" s="38">
        <f t="shared" si="6"/>
        <v>7.85E-2</v>
      </c>
      <c r="I11" s="38">
        <f t="shared" si="7"/>
        <v>5.6500000000000002E-2</v>
      </c>
      <c r="J11" s="8">
        <f t="shared" si="8"/>
        <v>74</v>
      </c>
      <c r="K11" s="8">
        <f t="shared" si="9"/>
        <v>1.45</v>
      </c>
      <c r="L11" s="8">
        <f t="shared" si="10"/>
        <v>72</v>
      </c>
      <c r="M11" s="8">
        <f t="shared" si="11"/>
        <v>2</v>
      </c>
      <c r="N11" s="8">
        <f t="shared" si="12"/>
        <v>3.45</v>
      </c>
      <c r="O11" s="38">
        <f t="shared" si="13"/>
        <v>4.7403132728771641E-2</v>
      </c>
      <c r="P11" s="8">
        <f t="shared" si="14"/>
        <v>74</v>
      </c>
      <c r="Q11" s="8">
        <f t="shared" si="15"/>
        <v>1.45</v>
      </c>
      <c r="R11" s="38">
        <f t="shared" si="16"/>
        <v>1.9923055784556196E-2</v>
      </c>
      <c r="S11" s="8">
        <f t="shared" si="17"/>
        <v>72</v>
      </c>
      <c r="T11" s="8">
        <f t="shared" si="18"/>
        <v>2</v>
      </c>
      <c r="U11" s="38">
        <f t="shared" si="19"/>
        <v>2.7480076944215445E-2</v>
      </c>
      <c r="V11" s="8" t="str">
        <f t="shared" si="20"/>
        <v>2026-05-05</v>
      </c>
      <c r="W11" s="38">
        <f t="shared" si="21"/>
        <v>0.43499900000000002</v>
      </c>
      <c r="X11" s="38">
        <f t="shared" si="22"/>
        <v>0.42813600000000002</v>
      </c>
      <c r="Y11" s="38">
        <f t="shared" si="23"/>
        <v>0.13686499999999996</v>
      </c>
      <c r="Z11" s="38">
        <f t="shared" si="24"/>
        <v>0.86313499999999999</v>
      </c>
      <c r="AA11" s="38">
        <f t="shared" si="25"/>
        <v>1.6762846935971406E-2</v>
      </c>
      <c r="AB11" s="38">
        <f t="shared" si="26"/>
        <v>1.0717230008244039E-2</v>
      </c>
      <c r="AC11" s="8">
        <f t="shared" si="27"/>
        <v>2</v>
      </c>
      <c r="AD11" s="8" t="str">
        <f t="shared" si="28"/>
        <v>🚫 NO</v>
      </c>
      <c r="AE11" s="8">
        <f t="shared" si="29"/>
        <v>87</v>
      </c>
      <c r="AF11" s="8" t="str">
        <f t="shared" si="30"/>
        <v>N/A</v>
      </c>
      <c r="AG11" s="8">
        <f t="shared" si="31"/>
        <v>69</v>
      </c>
      <c r="AH11" s="8">
        <f t="shared" si="32"/>
        <v>0.9</v>
      </c>
      <c r="AI11" s="38">
        <f t="shared" si="33"/>
        <v>0.60090900000000003</v>
      </c>
      <c r="AJ11" s="38">
        <f t="shared" si="34"/>
        <v>0.55972699999999997</v>
      </c>
      <c r="AK11" s="38">
        <f t="shared" si="35"/>
        <v>0.33634499184299999</v>
      </c>
      <c r="AL11" s="38">
        <f t="shared" si="36"/>
        <v>0.65873000000000004</v>
      </c>
      <c r="AM11" s="38">
        <f t="shared" si="37"/>
        <v>1.9923E-2</v>
      </c>
      <c r="AN11" s="9">
        <f t="shared" si="38"/>
        <v>2.33</v>
      </c>
      <c r="AO11" s="44" t="str">
        <f t="shared" si="39"/>
        <v>🟢 IV&gt;RV</v>
      </c>
      <c r="AP11" s="44" t="str">
        <f t="shared" si="40"/>
        <v>🟢 Smooth</v>
      </c>
      <c r="AQ11" s="6"/>
      <c r="AR11" s="6"/>
      <c r="AS11" s="10" t="str">
        <f t="shared" si="41"/>
        <v/>
      </c>
      <c r="AT11" s="10" t="str">
        <f t="shared" si="42"/>
        <v/>
      </c>
      <c r="AU11" s="10" t="str">
        <f t="shared" si="43"/>
        <v/>
      </c>
    </row>
    <row r="12" spans="1:47" ht="15" customHeight="1" x14ac:dyDescent="0.25">
      <c r="A12" s="4" t="s">
        <v>69</v>
      </c>
      <c r="B12" s="4">
        <f t="shared" si="0"/>
        <v>14.45</v>
      </c>
      <c r="C12" s="4">
        <f t="shared" si="1"/>
        <v>0.78239999999999998</v>
      </c>
      <c r="D12" s="40" t="str">
        <f t="shared" si="2"/>
        <v>Energy</v>
      </c>
      <c r="E12" s="40" t="str">
        <f t="shared" si="3"/>
        <v>Uranium</v>
      </c>
      <c r="F12" s="4">
        <f t="shared" si="4"/>
        <v>3</v>
      </c>
      <c r="G12" s="40" t="str">
        <f t="shared" si="5"/>
        <v>50d:0.6% 200d:11.2% 1m:19.5% 3m:-20.0%</v>
      </c>
      <c r="H12" s="37">
        <f t="shared" si="6"/>
        <v>0.19520000000000001</v>
      </c>
      <c r="I12" s="37">
        <f t="shared" si="7"/>
        <v>-0.20030000000000001</v>
      </c>
      <c r="J12" s="4">
        <f t="shared" si="8"/>
        <v>14.5</v>
      </c>
      <c r="K12" s="4">
        <f t="shared" si="9"/>
        <v>0.93</v>
      </c>
      <c r="L12" s="4">
        <f t="shared" si="10"/>
        <v>14</v>
      </c>
      <c r="M12" s="4">
        <f t="shared" si="11"/>
        <v>0.73</v>
      </c>
      <c r="N12" s="4">
        <f t="shared" si="12"/>
        <v>1.6600000000000001</v>
      </c>
      <c r="O12" s="37">
        <f t="shared" si="13"/>
        <v>0.11487889273356403</v>
      </c>
      <c r="P12" s="4">
        <f t="shared" si="14"/>
        <v>14.5</v>
      </c>
      <c r="Q12" s="4">
        <f t="shared" si="15"/>
        <v>0.93</v>
      </c>
      <c r="R12" s="37">
        <f t="shared" si="16"/>
        <v>6.4359861591695502E-2</v>
      </c>
      <c r="S12" s="4">
        <f t="shared" si="17"/>
        <v>14</v>
      </c>
      <c r="T12" s="4">
        <f t="shared" si="18"/>
        <v>0.73</v>
      </c>
      <c r="U12" s="37">
        <f t="shared" si="19"/>
        <v>5.0519031141868516E-2</v>
      </c>
      <c r="V12" s="4" t="str">
        <f t="shared" si="20"/>
        <v>2026-06-01</v>
      </c>
      <c r="W12" s="37">
        <f t="shared" si="21"/>
        <v>0.52937699999999999</v>
      </c>
      <c r="X12" s="37">
        <f t="shared" si="22"/>
        <v>0.39053100000000002</v>
      </c>
      <c r="Y12" s="37">
        <f t="shared" si="23"/>
        <v>8.0091999999999997E-2</v>
      </c>
      <c r="Z12" s="37">
        <f t="shared" si="24"/>
        <v>0.91990799999999995</v>
      </c>
      <c r="AA12" s="37">
        <f t="shared" si="25"/>
        <v>3.4602076124567969E-3</v>
      </c>
      <c r="AB12" s="37">
        <f t="shared" si="26"/>
        <v>3.114186851211068E-2</v>
      </c>
      <c r="AC12" s="4">
        <f t="shared" si="27"/>
        <v>0.5</v>
      </c>
      <c r="AD12" s="4" t="str">
        <f t="shared" si="28"/>
        <v>🚫 NO</v>
      </c>
      <c r="AE12" s="4">
        <f t="shared" si="29"/>
        <v>16.5</v>
      </c>
      <c r="AF12" s="4">
        <f t="shared" si="30"/>
        <v>0.31</v>
      </c>
      <c r="AG12" s="4">
        <f t="shared" si="31"/>
        <v>13</v>
      </c>
      <c r="AH12" s="4">
        <f t="shared" si="32"/>
        <v>0.38</v>
      </c>
      <c r="AI12" s="37">
        <f t="shared" si="33"/>
        <v>0.61680599999999997</v>
      </c>
      <c r="AJ12" s="37">
        <f t="shared" si="34"/>
        <v>0.54589100000000002</v>
      </c>
      <c r="AK12" s="37">
        <f t="shared" si="35"/>
        <v>0.336708844146</v>
      </c>
      <c r="AL12" s="37">
        <f t="shared" si="36"/>
        <v>0.78968300000000002</v>
      </c>
      <c r="AM12" s="37">
        <f t="shared" si="37"/>
        <v>6.4360000000000001E-2</v>
      </c>
      <c r="AN12" s="5">
        <f t="shared" si="38"/>
        <v>5.59</v>
      </c>
      <c r="AO12" s="43" t="str">
        <f t="shared" si="39"/>
        <v>🟢 IV&gt;RV</v>
      </c>
      <c r="AP12" s="43" t="str">
        <f t="shared" si="40"/>
        <v>🔴 Choppy</v>
      </c>
      <c r="AQ12" s="6"/>
      <c r="AR12" s="6"/>
      <c r="AS12" s="7" t="str">
        <f t="shared" si="41"/>
        <v/>
      </c>
      <c r="AT12" s="7" t="str">
        <f t="shared" si="42"/>
        <v/>
      </c>
      <c r="AU12" s="7" t="str">
        <f t="shared" si="43"/>
        <v/>
      </c>
    </row>
    <row r="13" spans="1:47" ht="15" customHeight="1" x14ac:dyDescent="0.25">
      <c r="A13" s="8" t="s">
        <v>70</v>
      </c>
      <c r="B13" s="8">
        <f t="shared" si="0"/>
        <v>62.25</v>
      </c>
      <c r="C13" s="8">
        <f t="shared" si="1"/>
        <v>0.24460000000000001</v>
      </c>
      <c r="D13" s="41" t="str">
        <f t="shared" si="2"/>
        <v>Financial</v>
      </c>
      <c r="E13" s="41" t="str">
        <f t="shared" si="3"/>
        <v>Exchange Traded Fund</v>
      </c>
      <c r="F13" s="8">
        <f t="shared" si="4"/>
        <v>4</v>
      </c>
      <c r="G13" s="41" t="str">
        <f t="shared" si="5"/>
        <v>50d:4.6% 200d:13.4% 1m:11.9% 3m:8.6%</v>
      </c>
      <c r="H13" s="38">
        <f t="shared" si="6"/>
        <v>0.1188</v>
      </c>
      <c r="I13" s="38">
        <f t="shared" si="7"/>
        <v>8.6199999999999999E-2</v>
      </c>
      <c r="J13" s="8">
        <f t="shared" si="8"/>
        <v>63</v>
      </c>
      <c r="K13" s="8">
        <f t="shared" si="9"/>
        <v>0.73</v>
      </c>
      <c r="L13" s="8">
        <f t="shared" si="10"/>
        <v>61.5</v>
      </c>
      <c r="M13" s="8">
        <f t="shared" si="11"/>
        <v>0.4</v>
      </c>
      <c r="N13" s="8">
        <f t="shared" si="12"/>
        <v>1.1299999999999999</v>
      </c>
      <c r="O13" s="38">
        <f t="shared" si="13"/>
        <v>1.8152610441767067E-2</v>
      </c>
      <c r="P13" s="8">
        <f t="shared" si="14"/>
        <v>63</v>
      </c>
      <c r="Q13" s="8">
        <f t="shared" si="15"/>
        <v>0.73</v>
      </c>
      <c r="R13" s="38">
        <f t="shared" si="16"/>
        <v>1.1726907630522088E-2</v>
      </c>
      <c r="S13" s="8">
        <f t="shared" si="17"/>
        <v>61.5</v>
      </c>
      <c r="T13" s="8">
        <f t="shared" si="18"/>
        <v>0.4</v>
      </c>
      <c r="U13" s="38">
        <f t="shared" si="19"/>
        <v>6.4257028112449802E-3</v>
      </c>
      <c r="V13" s="8" t="str">
        <f t="shared" si="20"/>
        <v>N/A</v>
      </c>
      <c r="W13" s="38">
        <f t="shared" si="21"/>
        <v>0.45849800000000002</v>
      </c>
      <c r="X13" s="38">
        <f t="shared" si="22"/>
        <v>0.39749299999999999</v>
      </c>
      <c r="Y13" s="38">
        <f t="shared" si="23"/>
        <v>0.14400899999999994</v>
      </c>
      <c r="Z13" s="38">
        <f t="shared" si="24"/>
        <v>0.85599100000000006</v>
      </c>
      <c r="AA13" s="38">
        <f t="shared" si="25"/>
        <v>1.2048192771084338E-2</v>
      </c>
      <c r="AB13" s="38">
        <f t="shared" si="26"/>
        <v>1.2048192771084338E-2</v>
      </c>
      <c r="AC13" s="8">
        <f t="shared" si="27"/>
        <v>1.5</v>
      </c>
      <c r="AD13" s="8" t="str">
        <f t="shared" si="28"/>
        <v>🚫 NO</v>
      </c>
      <c r="AE13" s="8">
        <f t="shared" si="29"/>
        <v>68</v>
      </c>
      <c r="AF13" s="8" t="str">
        <f t="shared" si="30"/>
        <v>N/A</v>
      </c>
      <c r="AG13" s="8">
        <f t="shared" si="31"/>
        <v>59</v>
      </c>
      <c r="AH13" s="8" t="str">
        <f t="shared" si="32"/>
        <v>N/A</v>
      </c>
      <c r="AI13" s="38">
        <f t="shared" si="33"/>
        <v>0.58848400000000001</v>
      </c>
      <c r="AJ13" s="38">
        <f t="shared" si="34"/>
        <v>0.53276900000000005</v>
      </c>
      <c r="AK13" s="38">
        <f t="shared" si="35"/>
        <v>0.31352603219600006</v>
      </c>
      <c r="AL13" s="38">
        <f t="shared" si="36"/>
        <v>0.119048</v>
      </c>
      <c r="AM13" s="38">
        <f t="shared" si="37"/>
        <v>2.0722999999999998E-2</v>
      </c>
      <c r="AN13" s="9">
        <f t="shared" si="38"/>
        <v>1.81</v>
      </c>
      <c r="AO13" s="44" t="str">
        <f t="shared" si="39"/>
        <v>🔴 IV&lt;RV</v>
      </c>
      <c r="AP13" s="44" t="str">
        <f t="shared" si="40"/>
        <v>🟡 Moderate</v>
      </c>
      <c r="AQ13" s="6"/>
      <c r="AR13" s="6"/>
      <c r="AS13" s="10" t="str">
        <f t="shared" si="41"/>
        <v/>
      </c>
      <c r="AT13" s="10" t="str">
        <f t="shared" si="42"/>
        <v/>
      </c>
      <c r="AU13" s="10" t="str">
        <f t="shared" si="43"/>
        <v/>
      </c>
    </row>
    <row r="14" spans="1:47" ht="15" customHeight="1" x14ac:dyDescent="0.25">
      <c r="A14" s="4" t="s">
        <v>71</v>
      </c>
      <c r="B14" s="4">
        <f t="shared" si="0"/>
        <v>17.350000000000001</v>
      </c>
      <c r="C14" s="4">
        <f t="shared" si="1"/>
        <v>0.62919999999999998</v>
      </c>
      <c r="D14" s="40" t="str">
        <f t="shared" si="2"/>
        <v>Financial</v>
      </c>
      <c r="E14" s="40" t="str">
        <f t="shared" si="3"/>
        <v>Exchange Traded Fund</v>
      </c>
      <c r="F14" s="4">
        <f t="shared" si="4"/>
        <v>2</v>
      </c>
      <c r="G14" s="40" t="str">
        <f t="shared" si="5"/>
        <v>50d:8.9% 200d:-28.6% 1m:7.8% 3m:-23.5%</v>
      </c>
      <c r="H14" s="37">
        <f t="shared" si="6"/>
        <v>7.7600000000000002E-2</v>
      </c>
      <c r="I14" s="37">
        <f t="shared" si="7"/>
        <v>-0.23469999999999999</v>
      </c>
      <c r="J14" s="4">
        <f t="shared" si="8"/>
        <v>17.5</v>
      </c>
      <c r="K14" s="4">
        <f t="shared" si="9"/>
        <v>0.87</v>
      </c>
      <c r="L14" s="4">
        <f t="shared" si="10"/>
        <v>17</v>
      </c>
      <c r="M14" s="4">
        <f t="shared" si="11"/>
        <v>0.75</v>
      </c>
      <c r="N14" s="4">
        <f t="shared" si="12"/>
        <v>1.62</v>
      </c>
      <c r="O14" s="37">
        <f t="shared" si="13"/>
        <v>9.3371757925072046E-2</v>
      </c>
      <c r="P14" s="4">
        <f t="shared" si="14"/>
        <v>17.5</v>
      </c>
      <c r="Q14" s="4">
        <f t="shared" si="15"/>
        <v>0.87</v>
      </c>
      <c r="R14" s="37">
        <f t="shared" si="16"/>
        <v>5.0144092219020171E-2</v>
      </c>
      <c r="S14" s="4">
        <f t="shared" si="17"/>
        <v>17</v>
      </c>
      <c r="T14" s="4">
        <f t="shared" si="18"/>
        <v>0.75</v>
      </c>
      <c r="U14" s="37">
        <f t="shared" si="19"/>
        <v>4.3227665706051868E-2</v>
      </c>
      <c r="V14" s="4" t="str">
        <f t="shared" si="20"/>
        <v>N/A</v>
      </c>
      <c r="W14" s="37">
        <f t="shared" si="21"/>
        <v>0.50672700000000004</v>
      </c>
      <c r="X14" s="37">
        <f t="shared" si="22"/>
        <v>0.40951300000000002</v>
      </c>
      <c r="Y14" s="37">
        <f t="shared" si="23"/>
        <v>8.3759999999999946E-2</v>
      </c>
      <c r="Z14" s="37">
        <f t="shared" si="24"/>
        <v>0.91624000000000005</v>
      </c>
      <c r="AA14" s="37">
        <f t="shared" si="25"/>
        <v>8.6455331412102921E-3</v>
      </c>
      <c r="AB14" s="37">
        <f t="shared" si="26"/>
        <v>2.0172910662824287E-2</v>
      </c>
      <c r="AC14" s="4">
        <f t="shared" si="27"/>
        <v>0.5</v>
      </c>
      <c r="AD14" s="4" t="str">
        <f t="shared" si="28"/>
        <v>🚫 NO</v>
      </c>
      <c r="AE14" s="4">
        <f t="shared" si="29"/>
        <v>19</v>
      </c>
      <c r="AF14" s="4">
        <f t="shared" si="30"/>
        <v>0.35</v>
      </c>
      <c r="AG14" s="4">
        <f t="shared" si="31"/>
        <v>16</v>
      </c>
      <c r="AH14" s="4">
        <f t="shared" si="32"/>
        <v>0.41</v>
      </c>
      <c r="AI14" s="37">
        <f t="shared" si="33"/>
        <v>0.62868900000000005</v>
      </c>
      <c r="AJ14" s="37">
        <f t="shared" si="34"/>
        <v>0.53839999999999999</v>
      </c>
      <c r="AK14" s="37">
        <f t="shared" si="35"/>
        <v>0.3384861576</v>
      </c>
      <c r="AL14" s="37">
        <f t="shared" si="36"/>
        <v>0.87301600000000001</v>
      </c>
      <c r="AM14" s="37">
        <f t="shared" si="37"/>
        <v>4.4380000000000003E-2</v>
      </c>
      <c r="AN14" s="5">
        <f t="shared" si="38"/>
        <v>0.39</v>
      </c>
      <c r="AO14" s="43" t="str">
        <f t="shared" si="39"/>
        <v>🟢 IV&gt;RV</v>
      </c>
      <c r="AP14" s="43" t="str">
        <f t="shared" si="40"/>
        <v>🔴 Choppy</v>
      </c>
      <c r="AQ14" s="6"/>
      <c r="AR14" s="6"/>
      <c r="AS14" s="7" t="str">
        <f t="shared" si="41"/>
        <v/>
      </c>
      <c r="AT14" s="7" t="str">
        <f t="shared" si="42"/>
        <v/>
      </c>
      <c r="AU14" s="7" t="str">
        <f t="shared" si="43"/>
        <v/>
      </c>
    </row>
    <row r="15" spans="1:47" ht="15" customHeight="1" x14ac:dyDescent="0.25">
      <c r="A15" s="8" t="s">
        <v>72</v>
      </c>
      <c r="B15" s="8">
        <f t="shared" si="0"/>
        <v>87.14</v>
      </c>
      <c r="C15" s="8">
        <f t="shared" si="1"/>
        <v>0.23910000000000001</v>
      </c>
      <c r="D15" s="41" t="str">
        <f t="shared" si="2"/>
        <v>Financial</v>
      </c>
      <c r="E15" s="41" t="str">
        <f t="shared" si="3"/>
        <v>Exchange Traded Fund</v>
      </c>
      <c r="F15" s="8">
        <f t="shared" si="4"/>
        <v>3</v>
      </c>
      <c r="G15" s="41" t="str">
        <f t="shared" si="5"/>
        <v>50d:-0.7% 200d:5.8% 1m:7.3% 3m:4.1%</v>
      </c>
      <c r="H15" s="38">
        <f t="shared" si="6"/>
        <v>7.3200000000000001E-2</v>
      </c>
      <c r="I15" s="38">
        <f t="shared" si="7"/>
        <v>4.0899999999999999E-2</v>
      </c>
      <c r="J15" s="8">
        <f t="shared" si="8"/>
        <v>88.5</v>
      </c>
      <c r="K15" s="8">
        <f t="shared" si="9"/>
        <v>1.1000000000000001</v>
      </c>
      <c r="L15" s="8">
        <f t="shared" si="10"/>
        <v>86</v>
      </c>
      <c r="M15" s="8">
        <f t="shared" si="11"/>
        <v>1.1499999999999999</v>
      </c>
      <c r="N15" s="8">
        <f t="shared" si="12"/>
        <v>2.25</v>
      </c>
      <c r="O15" s="38">
        <f t="shared" si="13"/>
        <v>2.5820518705531328E-2</v>
      </c>
      <c r="P15" s="8">
        <f t="shared" si="14"/>
        <v>88.5</v>
      </c>
      <c r="Q15" s="8">
        <f t="shared" si="15"/>
        <v>1.1000000000000001</v>
      </c>
      <c r="R15" s="38">
        <f t="shared" si="16"/>
        <v>1.2623364700481985E-2</v>
      </c>
      <c r="S15" s="8">
        <f t="shared" si="17"/>
        <v>86</v>
      </c>
      <c r="T15" s="8">
        <f t="shared" si="18"/>
        <v>1.1499999999999999</v>
      </c>
      <c r="U15" s="38">
        <f t="shared" si="19"/>
        <v>1.3197154005049345E-2</v>
      </c>
      <c r="V15" s="8" t="str">
        <f t="shared" si="20"/>
        <v>N/A</v>
      </c>
      <c r="W15" s="38">
        <f t="shared" si="21"/>
        <v>0.41396699999999997</v>
      </c>
      <c r="X15" s="38">
        <f t="shared" si="22"/>
        <v>0.39226299999999997</v>
      </c>
      <c r="Y15" s="38">
        <f t="shared" si="23"/>
        <v>0.19377000000000005</v>
      </c>
      <c r="Z15" s="38">
        <f t="shared" si="24"/>
        <v>0.80623</v>
      </c>
      <c r="AA15" s="38">
        <f t="shared" si="25"/>
        <v>1.5607069084232263E-2</v>
      </c>
      <c r="AB15" s="38">
        <f t="shared" si="26"/>
        <v>1.308239614413588E-2</v>
      </c>
      <c r="AC15" s="8">
        <f t="shared" si="27"/>
        <v>2.5</v>
      </c>
      <c r="AD15" s="8" t="str">
        <f t="shared" si="28"/>
        <v>🚫 NO</v>
      </c>
      <c r="AE15" s="8">
        <f t="shared" si="29"/>
        <v>92</v>
      </c>
      <c r="AF15" s="8">
        <f t="shared" si="30"/>
        <v>0.05</v>
      </c>
      <c r="AG15" s="8">
        <f t="shared" si="31"/>
        <v>83.5</v>
      </c>
      <c r="AH15" s="8">
        <f t="shared" si="32"/>
        <v>0.55000000000000004</v>
      </c>
      <c r="AI15" s="38">
        <f t="shared" si="33"/>
        <v>0.65780799999999995</v>
      </c>
      <c r="AJ15" s="38">
        <f t="shared" si="34"/>
        <v>0.604182</v>
      </c>
      <c r="AK15" s="38">
        <f t="shared" si="35"/>
        <v>0.39743575305599999</v>
      </c>
      <c r="AL15" s="38">
        <f t="shared" si="36"/>
        <v>0.15476200000000001</v>
      </c>
      <c r="AM15" s="38">
        <f t="shared" si="37"/>
        <v>2.0771000000000001E-2</v>
      </c>
      <c r="AN15" s="9">
        <f t="shared" si="38"/>
        <v>1.99</v>
      </c>
      <c r="AO15" s="44" t="str">
        <f t="shared" si="39"/>
        <v>🔴 IV&lt;RV</v>
      </c>
      <c r="AP15" s="44" t="str">
        <f t="shared" si="40"/>
        <v>🟡 Moderate</v>
      </c>
      <c r="AQ15" s="6"/>
      <c r="AR15" s="6"/>
      <c r="AS15" s="10" t="str">
        <f t="shared" si="41"/>
        <v/>
      </c>
      <c r="AT15" s="10" t="str">
        <f t="shared" si="42"/>
        <v/>
      </c>
      <c r="AU15" s="10" t="str">
        <f t="shared" si="43"/>
        <v/>
      </c>
    </row>
    <row r="16" spans="1:47" ht="15" customHeight="1" x14ac:dyDescent="0.25">
      <c r="A16" s="4" t="s">
        <v>73</v>
      </c>
      <c r="B16" s="4">
        <f t="shared" si="0"/>
        <v>40.79</v>
      </c>
      <c r="C16" s="4">
        <f t="shared" si="1"/>
        <v>0.28920000000000001</v>
      </c>
      <c r="D16" s="40" t="str">
        <f t="shared" si="2"/>
        <v>Financial</v>
      </c>
      <c r="E16" s="40" t="str">
        <f t="shared" si="3"/>
        <v>Exchange Traded Fund</v>
      </c>
      <c r="F16" s="4">
        <f t="shared" si="4"/>
        <v>4</v>
      </c>
      <c r="G16" s="40" t="str">
        <f t="shared" si="5"/>
        <v>50d:6.4% 200d:24.5% 1m:16.3% 3m:21.3%</v>
      </c>
      <c r="H16" s="37">
        <f t="shared" si="6"/>
        <v>0.16339999999999999</v>
      </c>
      <c r="I16" s="37">
        <f t="shared" si="7"/>
        <v>0.21329999999999999</v>
      </c>
      <c r="J16" s="4">
        <f t="shared" si="8"/>
        <v>41.5</v>
      </c>
      <c r="K16" s="4">
        <f t="shared" si="9"/>
        <v>0.6</v>
      </c>
      <c r="L16" s="4">
        <f t="shared" si="10"/>
        <v>40</v>
      </c>
      <c r="M16" s="4">
        <f t="shared" si="11"/>
        <v>0.4</v>
      </c>
      <c r="N16" s="4">
        <f t="shared" si="12"/>
        <v>1</v>
      </c>
      <c r="O16" s="37">
        <f t="shared" si="13"/>
        <v>2.4515812699190977E-2</v>
      </c>
      <c r="P16" s="4">
        <f t="shared" si="14"/>
        <v>41.5</v>
      </c>
      <c r="Q16" s="4">
        <f t="shared" si="15"/>
        <v>0.6</v>
      </c>
      <c r="R16" s="37">
        <f t="shared" si="16"/>
        <v>1.4709487619514587E-2</v>
      </c>
      <c r="S16" s="4">
        <f t="shared" si="17"/>
        <v>40</v>
      </c>
      <c r="T16" s="4">
        <f t="shared" si="18"/>
        <v>0.4</v>
      </c>
      <c r="U16" s="37">
        <f t="shared" si="19"/>
        <v>9.8063250796763916E-3</v>
      </c>
      <c r="V16" s="4" t="str">
        <f t="shared" si="20"/>
        <v>N/A</v>
      </c>
      <c r="W16" s="37">
        <f t="shared" si="21"/>
        <v>0.43609799999999999</v>
      </c>
      <c r="X16" s="37">
        <f t="shared" si="22"/>
        <v>0.36114200000000002</v>
      </c>
      <c r="Y16" s="37">
        <f t="shared" si="23"/>
        <v>0.20276</v>
      </c>
      <c r="Z16" s="37">
        <f t="shared" si="24"/>
        <v>0.79723999999999995</v>
      </c>
      <c r="AA16" s="37">
        <f t="shared" si="25"/>
        <v>1.7406227016425614E-2</v>
      </c>
      <c r="AB16" s="37">
        <f t="shared" si="26"/>
        <v>1.9367492032360854E-2</v>
      </c>
      <c r="AC16" s="4">
        <f t="shared" si="27"/>
        <v>1.5</v>
      </c>
      <c r="AD16" s="4" t="str">
        <f t="shared" si="28"/>
        <v>✅ YES</v>
      </c>
      <c r="AE16" s="4">
        <f t="shared" si="29"/>
        <v>48</v>
      </c>
      <c r="AF16" s="4" t="str">
        <f t="shared" si="30"/>
        <v>N/A</v>
      </c>
      <c r="AG16" s="4">
        <f t="shared" si="31"/>
        <v>39.5</v>
      </c>
      <c r="AH16" s="4">
        <f t="shared" si="32"/>
        <v>0.25</v>
      </c>
      <c r="AI16" s="37">
        <f t="shared" si="33"/>
        <v>0.68331600000000003</v>
      </c>
      <c r="AJ16" s="37">
        <f t="shared" si="34"/>
        <v>0.622448</v>
      </c>
      <c r="AK16" s="37">
        <f t="shared" si="35"/>
        <v>0.42532867756800002</v>
      </c>
      <c r="AL16" s="37">
        <f t="shared" si="36"/>
        <v>0.17460300000000001</v>
      </c>
      <c r="AM16" s="37">
        <f t="shared" si="37"/>
        <v>2.1329000000000001E-2</v>
      </c>
      <c r="AN16" s="5">
        <f t="shared" si="38"/>
        <v>1.36</v>
      </c>
      <c r="AO16" s="43" t="str">
        <f t="shared" si="39"/>
        <v>🔴 IV&lt;RV</v>
      </c>
      <c r="AP16" s="43" t="str">
        <f t="shared" si="40"/>
        <v>🟡 Moderate</v>
      </c>
      <c r="AQ16" s="6"/>
      <c r="AR16" s="6"/>
      <c r="AS16" s="7" t="str">
        <f t="shared" si="41"/>
        <v/>
      </c>
      <c r="AT16" s="7" t="str">
        <f t="shared" si="42"/>
        <v/>
      </c>
      <c r="AU16" s="7" t="str">
        <f t="shared" si="43"/>
        <v/>
      </c>
    </row>
    <row r="17" spans="1:47" ht="15" customHeight="1" x14ac:dyDescent="0.25">
      <c r="A17" s="8" t="s">
        <v>74</v>
      </c>
      <c r="B17" s="8">
        <f t="shared" si="0"/>
        <v>88.04</v>
      </c>
      <c r="C17" s="8">
        <f t="shared" si="1"/>
        <v>0.25359999999999999</v>
      </c>
      <c r="D17" s="41" t="str">
        <f t="shared" si="2"/>
        <v>Financial</v>
      </c>
      <c r="E17" s="41" t="str">
        <f t="shared" si="3"/>
        <v>Exchange Traded Fund</v>
      </c>
      <c r="F17" s="8">
        <f t="shared" si="4"/>
        <v>2</v>
      </c>
      <c r="G17" s="41" t="str">
        <f t="shared" si="5"/>
        <v>50d:-4.3% 200d:11.2% 1m:3.9% 3m:-1.7%</v>
      </c>
      <c r="H17" s="38">
        <f t="shared" si="6"/>
        <v>3.9399999999999998E-2</v>
      </c>
      <c r="I17" s="38">
        <f t="shared" si="7"/>
        <v>-1.6899999999999998E-2</v>
      </c>
      <c r="J17" s="8">
        <f t="shared" si="8"/>
        <v>89.5</v>
      </c>
      <c r="K17" s="8">
        <f t="shared" si="9"/>
        <v>1.2</v>
      </c>
      <c r="L17" s="8">
        <f t="shared" si="10"/>
        <v>86.5</v>
      </c>
      <c r="M17" s="8">
        <f t="shared" si="11"/>
        <v>1.1000000000000001</v>
      </c>
      <c r="N17" s="8">
        <f t="shared" si="12"/>
        <v>2.2999999999999998</v>
      </c>
      <c r="O17" s="38">
        <f t="shared" si="13"/>
        <v>2.6124488868696043E-2</v>
      </c>
      <c r="P17" s="8">
        <f t="shared" si="14"/>
        <v>89.5</v>
      </c>
      <c r="Q17" s="8">
        <f t="shared" si="15"/>
        <v>1.2</v>
      </c>
      <c r="R17" s="38">
        <f t="shared" si="16"/>
        <v>1.3630168105406631E-2</v>
      </c>
      <c r="S17" s="8">
        <f t="shared" si="17"/>
        <v>86.5</v>
      </c>
      <c r="T17" s="8">
        <f t="shared" si="18"/>
        <v>1.1000000000000001</v>
      </c>
      <c r="U17" s="38">
        <f t="shared" si="19"/>
        <v>1.2494320763289414E-2</v>
      </c>
      <c r="V17" s="8" t="str">
        <f t="shared" si="20"/>
        <v>N/A</v>
      </c>
      <c r="W17" s="38">
        <f t="shared" si="21"/>
        <v>0.41259400000000002</v>
      </c>
      <c r="X17" s="38">
        <f t="shared" si="22"/>
        <v>0.36891099999999999</v>
      </c>
      <c r="Y17" s="38">
        <f t="shared" si="23"/>
        <v>0.21849499999999999</v>
      </c>
      <c r="Z17" s="38">
        <f t="shared" si="24"/>
        <v>0.78150500000000001</v>
      </c>
      <c r="AA17" s="38">
        <f t="shared" si="25"/>
        <v>1.6583371194911333E-2</v>
      </c>
      <c r="AB17" s="38">
        <f t="shared" si="26"/>
        <v>1.7492049068605249E-2</v>
      </c>
      <c r="AC17" s="8">
        <f t="shared" si="27"/>
        <v>3</v>
      </c>
      <c r="AD17" s="8" t="str">
        <f t="shared" si="28"/>
        <v>✅ YES</v>
      </c>
      <c r="AE17" s="8">
        <f t="shared" si="29"/>
        <v>92</v>
      </c>
      <c r="AF17" s="8">
        <f t="shared" si="30"/>
        <v>0.5</v>
      </c>
      <c r="AG17" s="8">
        <f t="shared" si="31"/>
        <v>85</v>
      </c>
      <c r="AH17" s="8">
        <f t="shared" si="32"/>
        <v>0.55000000000000004</v>
      </c>
      <c r="AI17" s="38">
        <f t="shared" si="33"/>
        <v>0.65647599999999995</v>
      </c>
      <c r="AJ17" s="38">
        <f t="shared" si="34"/>
        <v>0.58799299999999999</v>
      </c>
      <c r="AK17" s="38">
        <f t="shared" si="35"/>
        <v>0.38600329266799999</v>
      </c>
      <c r="AL17" s="38">
        <f t="shared" si="36"/>
        <v>0.28968300000000002</v>
      </c>
      <c r="AM17" s="38">
        <f t="shared" si="37"/>
        <v>2.2603000000000002E-2</v>
      </c>
      <c r="AN17" s="9">
        <f t="shared" si="38"/>
        <v>0.66</v>
      </c>
      <c r="AO17" s="44" t="str">
        <f t="shared" si="39"/>
        <v>🔴 IV&lt;RV</v>
      </c>
      <c r="AP17" s="44" t="str">
        <f t="shared" si="40"/>
        <v>🟡 Moderate</v>
      </c>
      <c r="AQ17" s="6"/>
      <c r="AR17" s="6"/>
      <c r="AS17" s="10" t="str">
        <f t="shared" si="41"/>
        <v/>
      </c>
      <c r="AT17" s="10" t="str">
        <f t="shared" si="42"/>
        <v/>
      </c>
      <c r="AU17" s="10" t="str">
        <f t="shared" si="43"/>
        <v/>
      </c>
    </row>
    <row r="18" spans="1:47" ht="15" customHeight="1" x14ac:dyDescent="0.25">
      <c r="A18" s="4" t="s">
        <v>75</v>
      </c>
      <c r="B18" s="4">
        <f t="shared" si="0"/>
        <v>42.51</v>
      </c>
      <c r="C18" s="4">
        <f t="shared" si="1"/>
        <v>0.44840000000000002</v>
      </c>
      <c r="D18" s="40" t="str">
        <f t="shared" si="2"/>
        <v>Financial</v>
      </c>
      <c r="E18" s="40" t="str">
        <f t="shared" si="3"/>
        <v>Exchange Traded Fund</v>
      </c>
      <c r="F18" s="4">
        <f t="shared" si="4"/>
        <v>2</v>
      </c>
      <c r="G18" s="40" t="str">
        <f t="shared" si="5"/>
        <v>50d:7.1% 200d:-21.5% 1m:6.9% 3m:-16.3%</v>
      </c>
      <c r="H18" s="37">
        <f t="shared" si="6"/>
        <v>6.8900000000000003E-2</v>
      </c>
      <c r="I18" s="37">
        <f t="shared" si="7"/>
        <v>-0.16250000000000001</v>
      </c>
      <c r="J18" s="4">
        <f t="shared" si="8"/>
        <v>43</v>
      </c>
      <c r="K18" s="4">
        <f t="shared" si="9"/>
        <v>1.54</v>
      </c>
      <c r="L18" s="4">
        <f t="shared" si="10"/>
        <v>42</v>
      </c>
      <c r="M18" s="4">
        <f t="shared" si="11"/>
        <v>1.17</v>
      </c>
      <c r="N18" s="4">
        <f t="shared" si="12"/>
        <v>2.71</v>
      </c>
      <c r="O18" s="37">
        <f t="shared" si="13"/>
        <v>6.3749705951540822E-2</v>
      </c>
      <c r="P18" s="4">
        <f t="shared" si="14"/>
        <v>43</v>
      </c>
      <c r="Q18" s="4">
        <f t="shared" si="15"/>
        <v>1.54</v>
      </c>
      <c r="R18" s="37">
        <f t="shared" si="16"/>
        <v>3.62267701717243E-2</v>
      </c>
      <c r="S18" s="4">
        <f t="shared" si="17"/>
        <v>42</v>
      </c>
      <c r="T18" s="4">
        <f t="shared" si="18"/>
        <v>1.17</v>
      </c>
      <c r="U18" s="37">
        <f t="shared" si="19"/>
        <v>2.7522935779816512E-2</v>
      </c>
      <c r="V18" s="4" t="str">
        <f t="shared" si="20"/>
        <v>N/A</v>
      </c>
      <c r="W18" s="37">
        <f t="shared" si="21"/>
        <v>0.48293799999999998</v>
      </c>
      <c r="X18" s="37">
        <f t="shared" si="22"/>
        <v>0.42033599999999999</v>
      </c>
      <c r="Y18" s="37">
        <f t="shared" si="23"/>
        <v>9.6726000000000034E-2</v>
      </c>
      <c r="Z18" s="37">
        <f t="shared" si="24"/>
        <v>0.90327399999999991</v>
      </c>
      <c r="AA18" s="37">
        <f t="shared" si="25"/>
        <v>1.1526699600094142E-2</v>
      </c>
      <c r="AB18" s="37">
        <f t="shared" si="26"/>
        <v>1.1997177134791768E-2</v>
      </c>
      <c r="AC18" s="4">
        <f t="shared" si="27"/>
        <v>1</v>
      </c>
      <c r="AD18" s="4" t="str">
        <f t="shared" si="28"/>
        <v>🚫 NO</v>
      </c>
      <c r="AE18" s="4">
        <f t="shared" si="29"/>
        <v>45.5</v>
      </c>
      <c r="AF18" s="4">
        <f t="shared" si="30"/>
        <v>0.6</v>
      </c>
      <c r="AG18" s="4">
        <f t="shared" si="31"/>
        <v>40</v>
      </c>
      <c r="AH18" s="4">
        <f t="shared" si="32"/>
        <v>0.56999999999999995</v>
      </c>
      <c r="AI18" s="37">
        <f t="shared" si="33"/>
        <v>0.55973600000000001</v>
      </c>
      <c r="AJ18" s="37">
        <f t="shared" si="34"/>
        <v>0.53787300000000005</v>
      </c>
      <c r="AK18" s="37">
        <f t="shared" si="35"/>
        <v>0.30106688152800004</v>
      </c>
      <c r="AL18" s="37">
        <f t="shared" si="36"/>
        <v>0.90873000000000004</v>
      </c>
      <c r="AM18" s="37">
        <f t="shared" si="37"/>
        <v>3.3168999999999997E-2</v>
      </c>
      <c r="AN18" s="5">
        <f t="shared" si="38"/>
        <v>0.2</v>
      </c>
      <c r="AO18" s="43" t="str">
        <f t="shared" si="39"/>
        <v>🟢 IV&gt;RV</v>
      </c>
      <c r="AP18" s="43" t="str">
        <f t="shared" si="40"/>
        <v>🟡 Moderate</v>
      </c>
      <c r="AQ18" s="6"/>
      <c r="AR18" s="6"/>
      <c r="AS18" s="7" t="str">
        <f t="shared" si="41"/>
        <v/>
      </c>
      <c r="AT18" s="7" t="str">
        <f t="shared" si="42"/>
        <v/>
      </c>
      <c r="AU18" s="7" t="str">
        <f t="shared" si="43"/>
        <v/>
      </c>
    </row>
    <row r="19" spans="1:47" ht="15" customHeight="1" x14ac:dyDescent="0.25">
      <c r="A19" s="8" t="s">
        <v>76</v>
      </c>
      <c r="B19" s="8">
        <f t="shared" si="0"/>
        <v>69.63</v>
      </c>
      <c r="C19" s="8">
        <f t="shared" si="1"/>
        <v>0.2555</v>
      </c>
      <c r="D19" s="41" t="str">
        <f t="shared" si="2"/>
        <v>Financial</v>
      </c>
      <c r="E19" s="41" t="str">
        <f t="shared" si="3"/>
        <v>Exchange Traded Fund</v>
      </c>
      <c r="F19" s="8">
        <f t="shared" si="4"/>
        <v>4</v>
      </c>
      <c r="G19" s="41" t="str">
        <f t="shared" si="5"/>
        <v>50d:3.3% 200d:7.5% 1m:10.5% 3m:4.0%</v>
      </c>
      <c r="H19" s="38">
        <f t="shared" si="6"/>
        <v>0.1045</v>
      </c>
      <c r="I19" s="38">
        <f t="shared" si="7"/>
        <v>3.9899999999999998E-2</v>
      </c>
      <c r="J19" s="8">
        <f t="shared" si="8"/>
        <v>71</v>
      </c>
      <c r="K19" s="8" t="str">
        <f t="shared" si="9"/>
        <v>N/A</v>
      </c>
      <c r="L19" s="8">
        <f t="shared" si="10"/>
        <v>68.5</v>
      </c>
      <c r="M19" s="8">
        <f t="shared" si="11"/>
        <v>0.04</v>
      </c>
      <c r="N19" s="8" t="e">
        <f t="shared" si="12"/>
        <v>#VALUE!</v>
      </c>
      <c r="O19" s="38" t="e">
        <f t="shared" si="13"/>
        <v>#VALUE!</v>
      </c>
      <c r="P19" s="8">
        <f t="shared" si="14"/>
        <v>71</v>
      </c>
      <c r="Q19" s="8" t="str">
        <f t="shared" si="15"/>
        <v>N/A</v>
      </c>
      <c r="R19" s="38" t="e">
        <f t="shared" si="16"/>
        <v>#VALUE!</v>
      </c>
      <c r="S19" s="8">
        <f t="shared" si="17"/>
        <v>68.5</v>
      </c>
      <c r="T19" s="8">
        <f t="shared" si="18"/>
        <v>0.04</v>
      </c>
      <c r="U19" s="38">
        <f t="shared" si="19"/>
        <v>5.7446502944133286E-4</v>
      </c>
      <c r="V19" s="8" t="str">
        <f t="shared" si="20"/>
        <v>N/A</v>
      </c>
      <c r="W19" s="38">
        <f t="shared" si="21"/>
        <v>0.47956900000000002</v>
      </c>
      <c r="X19" s="38">
        <f t="shared" si="22"/>
        <v>0.39134600000000003</v>
      </c>
      <c r="Y19" s="38">
        <f t="shared" si="23"/>
        <v>0.12908499999999995</v>
      </c>
      <c r="Z19" s="38">
        <f t="shared" si="24"/>
        <v>0.87091500000000011</v>
      </c>
      <c r="AA19" s="38">
        <f t="shared" si="25"/>
        <v>1.9675427258365713E-2</v>
      </c>
      <c r="AB19" s="38">
        <f t="shared" si="26"/>
        <v>1.6228637081717585E-2</v>
      </c>
      <c r="AC19" s="8">
        <f t="shared" si="27"/>
        <v>2.5</v>
      </c>
      <c r="AD19" s="8" t="str">
        <f t="shared" si="28"/>
        <v>✅ YES</v>
      </c>
      <c r="AE19" s="8">
        <f t="shared" si="29"/>
        <v>80</v>
      </c>
      <c r="AF19" s="8" t="str">
        <f t="shared" si="30"/>
        <v>N/A</v>
      </c>
      <c r="AG19" s="8">
        <f t="shared" si="31"/>
        <v>62.5</v>
      </c>
      <c r="AH19" s="8" t="str">
        <f t="shared" si="32"/>
        <v>N/A</v>
      </c>
      <c r="AI19" s="38">
        <f t="shared" si="33"/>
        <v>0.63825699999999996</v>
      </c>
      <c r="AJ19" s="38">
        <f t="shared" si="34"/>
        <v>0.56715700000000002</v>
      </c>
      <c r="AK19" s="38">
        <f t="shared" si="35"/>
        <v>0.36199192534899999</v>
      </c>
      <c r="AL19" s="38">
        <f t="shared" si="36"/>
        <v>0.67063499999999998</v>
      </c>
      <c r="AM19" s="38">
        <f t="shared" si="37"/>
        <v>2.0968000000000001E-2</v>
      </c>
      <c r="AN19" s="9">
        <f t="shared" si="38"/>
        <v>3.39</v>
      </c>
      <c r="AO19" s="44" t="str">
        <f t="shared" si="39"/>
        <v>🟢 IV&gt;RV</v>
      </c>
      <c r="AP19" s="44" t="str">
        <f t="shared" si="40"/>
        <v>🟡 Moderate</v>
      </c>
      <c r="AQ19" s="6"/>
      <c r="AR19" s="6"/>
      <c r="AS19" s="10" t="str">
        <f t="shared" si="41"/>
        <v/>
      </c>
      <c r="AT19" s="10" t="str">
        <f t="shared" si="42"/>
        <v/>
      </c>
      <c r="AU19" s="10" t="str">
        <f t="shared" si="43"/>
        <v/>
      </c>
    </row>
    <row r="20" spans="1:47" ht="15" customHeight="1" x14ac:dyDescent="0.25">
      <c r="A20" s="4" t="s">
        <v>77</v>
      </c>
      <c r="B20" s="4">
        <f t="shared" si="0"/>
        <v>30.55</v>
      </c>
      <c r="C20" s="4">
        <f t="shared" si="1"/>
        <v>0.60970000000000002</v>
      </c>
      <c r="D20" s="40" t="str">
        <f t="shared" si="2"/>
        <v>Financial</v>
      </c>
      <c r="E20" s="40" t="str">
        <f t="shared" si="3"/>
        <v>Exchange Traded Fund</v>
      </c>
      <c r="F20" s="4">
        <f t="shared" si="4"/>
        <v>2</v>
      </c>
      <c r="G20" s="40" t="str">
        <f t="shared" si="5"/>
        <v>50d:-6.4% 200d:19.4% 1m:16.1% 3m:-13.6%</v>
      </c>
      <c r="H20" s="37">
        <f t="shared" si="6"/>
        <v>0.16120000000000001</v>
      </c>
      <c r="I20" s="37">
        <f t="shared" si="7"/>
        <v>-0.13550000000000001</v>
      </c>
      <c r="J20" s="4">
        <f t="shared" si="8"/>
        <v>31</v>
      </c>
      <c r="K20" s="4">
        <f t="shared" si="9"/>
        <v>1.27</v>
      </c>
      <c r="L20" s="4">
        <f t="shared" si="10"/>
        <v>30</v>
      </c>
      <c r="M20" s="4">
        <f t="shared" si="11"/>
        <v>0.95</v>
      </c>
      <c r="N20" s="4">
        <f t="shared" si="12"/>
        <v>2.2199999999999998</v>
      </c>
      <c r="O20" s="37">
        <f t="shared" si="13"/>
        <v>7.2667757774140737E-2</v>
      </c>
      <c r="P20" s="4">
        <f t="shared" si="14"/>
        <v>31</v>
      </c>
      <c r="Q20" s="4">
        <f t="shared" si="15"/>
        <v>1.27</v>
      </c>
      <c r="R20" s="37">
        <f t="shared" si="16"/>
        <v>4.1571194762684123E-2</v>
      </c>
      <c r="S20" s="4">
        <f t="shared" si="17"/>
        <v>30</v>
      </c>
      <c r="T20" s="4">
        <f t="shared" si="18"/>
        <v>0.95</v>
      </c>
      <c r="U20" s="37">
        <f t="shared" si="19"/>
        <v>3.1096563011456628E-2</v>
      </c>
      <c r="V20" s="4" t="str">
        <f t="shared" si="20"/>
        <v>N/A</v>
      </c>
      <c r="W20" s="37">
        <f t="shared" si="21"/>
        <v>0.49249100000000001</v>
      </c>
      <c r="X20" s="37">
        <f t="shared" si="22"/>
        <v>0.41198600000000002</v>
      </c>
      <c r="Y20" s="37">
        <f t="shared" si="23"/>
        <v>9.5522999999999969E-2</v>
      </c>
      <c r="Z20" s="37">
        <f t="shared" si="24"/>
        <v>0.90447699999999998</v>
      </c>
      <c r="AA20" s="37">
        <f t="shared" si="25"/>
        <v>1.4729950900163642E-2</v>
      </c>
      <c r="AB20" s="37">
        <f t="shared" si="26"/>
        <v>1.800327332242228E-2</v>
      </c>
      <c r="AC20" s="4">
        <f t="shared" si="27"/>
        <v>1</v>
      </c>
      <c r="AD20" s="4" t="str">
        <f t="shared" si="28"/>
        <v>🚫 NO</v>
      </c>
      <c r="AE20" s="4">
        <f t="shared" si="29"/>
        <v>34</v>
      </c>
      <c r="AF20" s="4">
        <f t="shared" si="30"/>
        <v>0.32</v>
      </c>
      <c r="AG20" s="4">
        <f t="shared" si="31"/>
        <v>26.5</v>
      </c>
      <c r="AH20" s="4" t="str">
        <f t="shared" si="32"/>
        <v>N/A</v>
      </c>
      <c r="AI20" s="37">
        <f t="shared" si="33"/>
        <v>0.56542000000000003</v>
      </c>
      <c r="AJ20" s="37">
        <f t="shared" si="34"/>
        <v>0.53457699999999997</v>
      </c>
      <c r="AK20" s="37">
        <f t="shared" si="35"/>
        <v>0.30226052733999997</v>
      </c>
      <c r="AL20" s="37">
        <f t="shared" si="36"/>
        <v>0.32142900000000002</v>
      </c>
      <c r="AM20" s="37">
        <f t="shared" si="37"/>
        <v>5.3355E-2</v>
      </c>
      <c r="AN20" s="5">
        <f t="shared" si="38"/>
        <v>0.23</v>
      </c>
      <c r="AO20" s="43" t="str">
        <f t="shared" si="39"/>
        <v>🟡 Moderate</v>
      </c>
      <c r="AP20" s="43" t="str">
        <f t="shared" si="40"/>
        <v>🔴 Choppy</v>
      </c>
      <c r="AQ20" s="6"/>
      <c r="AR20" s="6"/>
      <c r="AS20" s="7" t="str">
        <f t="shared" si="41"/>
        <v/>
      </c>
      <c r="AT20" s="7" t="str">
        <f t="shared" si="42"/>
        <v/>
      </c>
      <c r="AU20" s="7" t="str">
        <f t="shared" si="43"/>
        <v/>
      </c>
    </row>
    <row r="21" spans="1:47" ht="15" customHeight="1" x14ac:dyDescent="0.25">
      <c r="A21" s="8" t="s">
        <v>78</v>
      </c>
      <c r="B21" s="8">
        <f t="shared" si="0"/>
        <v>70.22</v>
      </c>
      <c r="C21" s="8">
        <f t="shared" si="1"/>
        <v>0.42149999999999999</v>
      </c>
      <c r="D21" s="41" t="str">
        <f t="shared" si="2"/>
        <v>Industrials</v>
      </c>
      <c r="E21" s="41" t="str">
        <f t="shared" si="3"/>
        <v>Airlines</v>
      </c>
      <c r="F21" s="8">
        <f t="shared" si="4"/>
        <v>4</v>
      </c>
      <c r="G21" s="41" t="str">
        <f t="shared" si="5"/>
        <v>50d:5.4% 200d:11.7% 1m:10.7% 3m:4.1%</v>
      </c>
      <c r="H21" s="38">
        <f t="shared" si="6"/>
        <v>0.1069</v>
      </c>
      <c r="I21" s="38">
        <f t="shared" si="7"/>
        <v>4.0899999999999999E-2</v>
      </c>
      <c r="J21" s="8">
        <f t="shared" si="8"/>
        <v>71</v>
      </c>
      <c r="K21" s="8">
        <f t="shared" si="9"/>
        <v>2.56</v>
      </c>
      <c r="L21" s="8">
        <f t="shared" si="10"/>
        <v>69</v>
      </c>
      <c r="M21" s="8">
        <f t="shared" si="11"/>
        <v>2.25</v>
      </c>
      <c r="N21" s="8">
        <f t="shared" si="12"/>
        <v>4.8100000000000005</v>
      </c>
      <c r="O21" s="38">
        <f t="shared" si="13"/>
        <v>6.849900313301055E-2</v>
      </c>
      <c r="P21" s="8">
        <f t="shared" si="14"/>
        <v>71</v>
      </c>
      <c r="Q21" s="8">
        <f t="shared" si="15"/>
        <v>2.56</v>
      </c>
      <c r="R21" s="38">
        <f t="shared" si="16"/>
        <v>3.6456849900313303E-2</v>
      </c>
      <c r="S21" s="8">
        <f t="shared" si="17"/>
        <v>69</v>
      </c>
      <c r="T21" s="8">
        <f t="shared" si="18"/>
        <v>2.25</v>
      </c>
      <c r="U21" s="38">
        <f t="shared" si="19"/>
        <v>3.204215323269724E-2</v>
      </c>
      <c r="V21" s="8" t="str">
        <f t="shared" si="20"/>
        <v>2026-07-09</v>
      </c>
      <c r="W21" s="38">
        <f t="shared" si="21"/>
        <v>0.48840499999999998</v>
      </c>
      <c r="X21" s="38">
        <f t="shared" si="22"/>
        <v>0.409999</v>
      </c>
      <c r="Y21" s="38">
        <f t="shared" si="23"/>
        <v>0.10159600000000002</v>
      </c>
      <c r="Z21" s="38">
        <f t="shared" si="24"/>
        <v>0.89840399999999998</v>
      </c>
      <c r="AA21" s="38">
        <f t="shared" si="25"/>
        <v>1.1107946454001726E-2</v>
      </c>
      <c r="AB21" s="38">
        <f t="shared" si="26"/>
        <v>1.7373967530618043E-2</v>
      </c>
      <c r="AC21" s="8">
        <f t="shared" si="27"/>
        <v>2</v>
      </c>
      <c r="AD21" s="8" t="str">
        <f t="shared" si="28"/>
        <v>🚫 NO</v>
      </c>
      <c r="AE21" s="8">
        <f t="shared" si="29"/>
        <v>83</v>
      </c>
      <c r="AF21" s="8" t="str">
        <f t="shared" si="30"/>
        <v>N/A</v>
      </c>
      <c r="AG21" s="8">
        <f t="shared" si="31"/>
        <v>66</v>
      </c>
      <c r="AH21" s="8">
        <f t="shared" si="32"/>
        <v>1.32</v>
      </c>
      <c r="AI21" s="38">
        <f t="shared" si="33"/>
        <v>0.55936900000000001</v>
      </c>
      <c r="AJ21" s="38">
        <f t="shared" si="34"/>
        <v>0.56656499999999999</v>
      </c>
      <c r="AK21" s="38">
        <f t="shared" si="35"/>
        <v>0.31691889748500002</v>
      </c>
      <c r="AL21" s="38">
        <f t="shared" si="36"/>
        <v>0.32738099999999998</v>
      </c>
      <c r="AM21" s="38">
        <f t="shared" si="37"/>
        <v>4.2722999999999997E-2</v>
      </c>
      <c r="AN21" s="9">
        <f t="shared" si="38"/>
        <v>2.0299999999999998</v>
      </c>
      <c r="AO21" s="44" t="str">
        <f t="shared" si="39"/>
        <v>🟡 Moderate</v>
      </c>
      <c r="AP21" s="44" t="str">
        <f t="shared" si="40"/>
        <v>🔴 Choppy</v>
      </c>
      <c r="AQ21" s="6"/>
      <c r="AR21" s="6"/>
      <c r="AS21" s="10" t="str">
        <f t="shared" si="41"/>
        <v/>
      </c>
      <c r="AT21" s="10" t="str">
        <f t="shared" si="42"/>
        <v/>
      </c>
      <c r="AU21" s="10" t="str">
        <f t="shared" si="43"/>
        <v/>
      </c>
    </row>
    <row r="22" spans="1:47" ht="15" customHeight="1" x14ac:dyDescent="0.25">
      <c r="A22" s="4" t="s">
        <v>79</v>
      </c>
      <c r="B22" s="4">
        <f t="shared" si="0"/>
        <v>65.760000000000005</v>
      </c>
      <c r="C22" s="4">
        <f t="shared" si="1"/>
        <v>0.71360000000000001</v>
      </c>
      <c r="D22" s="40" t="str">
        <f t="shared" si="2"/>
        <v>Basic Materials</v>
      </c>
      <c r="E22" s="40" t="str">
        <f t="shared" si="3"/>
        <v>Other Industrial Metals &amp; Mining</v>
      </c>
      <c r="F22" s="4">
        <f t="shared" si="4"/>
        <v>3</v>
      </c>
      <c r="G22" s="40" t="str">
        <f t="shared" si="5"/>
        <v>50d:15.2% 200d:5.8% 1m:30.0% 3m:-3.8%</v>
      </c>
      <c r="H22" s="37">
        <f t="shared" si="6"/>
        <v>0.29959999999999998</v>
      </c>
      <c r="I22" s="37">
        <f t="shared" si="7"/>
        <v>-3.8300000000000001E-2</v>
      </c>
      <c r="J22" s="4">
        <f t="shared" si="8"/>
        <v>67</v>
      </c>
      <c r="K22" s="4">
        <f t="shared" si="9"/>
        <v>3.75</v>
      </c>
      <c r="L22" s="4">
        <f t="shared" si="10"/>
        <v>65</v>
      </c>
      <c r="M22" s="4">
        <f t="shared" si="11"/>
        <v>3.45</v>
      </c>
      <c r="N22" s="4">
        <f t="shared" si="12"/>
        <v>7.2</v>
      </c>
      <c r="O22" s="37">
        <f t="shared" si="13"/>
        <v>0.1094890510948905</v>
      </c>
      <c r="P22" s="4">
        <f t="shared" si="14"/>
        <v>67</v>
      </c>
      <c r="Q22" s="4">
        <f t="shared" si="15"/>
        <v>3.75</v>
      </c>
      <c r="R22" s="37">
        <f t="shared" si="16"/>
        <v>5.7025547445255467E-2</v>
      </c>
      <c r="S22" s="4">
        <f t="shared" si="17"/>
        <v>65</v>
      </c>
      <c r="T22" s="4">
        <f t="shared" si="18"/>
        <v>3.45</v>
      </c>
      <c r="U22" s="37">
        <f t="shared" si="19"/>
        <v>5.2463503649635035E-2</v>
      </c>
      <c r="V22" s="4" t="str">
        <f t="shared" si="20"/>
        <v>2026-05-07</v>
      </c>
      <c r="W22" s="37">
        <f t="shared" si="21"/>
        <v>0.49475000000000002</v>
      </c>
      <c r="X22" s="37">
        <f t="shared" si="22"/>
        <v>0.43529400000000001</v>
      </c>
      <c r="Y22" s="37">
        <f t="shared" si="23"/>
        <v>6.9955999999999963E-2</v>
      </c>
      <c r="Z22" s="37">
        <f t="shared" si="24"/>
        <v>0.93004400000000009</v>
      </c>
      <c r="AA22" s="37">
        <f t="shared" si="25"/>
        <v>1.8856447688564398E-2</v>
      </c>
      <c r="AB22" s="37">
        <f t="shared" si="26"/>
        <v>1.1557177615571852E-2</v>
      </c>
      <c r="AC22" s="4">
        <f t="shared" si="27"/>
        <v>2</v>
      </c>
      <c r="AD22" s="4" t="str">
        <f t="shared" si="28"/>
        <v>🚫 NO</v>
      </c>
      <c r="AE22" s="4">
        <f t="shared" si="29"/>
        <v>75</v>
      </c>
      <c r="AF22" s="4">
        <f t="shared" si="30"/>
        <v>1.45</v>
      </c>
      <c r="AG22" s="4">
        <f t="shared" si="31"/>
        <v>60</v>
      </c>
      <c r="AH22" s="4">
        <f t="shared" si="32"/>
        <v>1.65</v>
      </c>
      <c r="AI22" s="37">
        <f t="shared" si="33"/>
        <v>0.57453799999999999</v>
      </c>
      <c r="AJ22" s="37">
        <f t="shared" si="34"/>
        <v>0.50425600000000004</v>
      </c>
      <c r="AK22" s="37">
        <f t="shared" si="35"/>
        <v>0.28971423372800004</v>
      </c>
      <c r="AL22" s="37">
        <f t="shared" si="36"/>
        <v>0.57936500000000002</v>
      </c>
      <c r="AM22" s="37">
        <f t="shared" si="37"/>
        <v>5.4440000000000002E-2</v>
      </c>
      <c r="AN22" s="5">
        <f t="shared" si="38"/>
        <v>3.89</v>
      </c>
      <c r="AO22" s="43" t="str">
        <f t="shared" si="39"/>
        <v>🟡 Moderate</v>
      </c>
      <c r="AP22" s="43" t="str">
        <f t="shared" si="40"/>
        <v>🔴 Choppy</v>
      </c>
      <c r="AQ22" s="6"/>
      <c r="AR22" s="6"/>
      <c r="AS22" s="7" t="str">
        <f t="shared" si="41"/>
        <v/>
      </c>
      <c r="AT22" s="7" t="str">
        <f t="shared" si="42"/>
        <v/>
      </c>
      <c r="AU22" s="7" t="str">
        <f t="shared" si="43"/>
        <v/>
      </c>
    </row>
    <row r="23" spans="1:47" ht="15" customHeight="1" x14ac:dyDescent="0.25">
      <c r="A23" s="8" t="s">
        <v>80</v>
      </c>
      <c r="B23" s="8">
        <f t="shared" si="0"/>
        <v>89.7</v>
      </c>
      <c r="C23" s="8">
        <f t="shared" si="1"/>
        <v>0.33739999999999998</v>
      </c>
      <c r="D23" s="41" t="str">
        <f t="shared" si="2"/>
        <v>Technology</v>
      </c>
      <c r="E23" s="41" t="str">
        <f t="shared" si="3"/>
        <v>Communication Equipment</v>
      </c>
      <c r="F23" s="8">
        <f t="shared" si="4"/>
        <v>4</v>
      </c>
      <c r="G23" s="41" t="str">
        <f t="shared" si="5"/>
        <v>50d:11.7% 200d:20.9% 1m:15.5% 3m:22.3%</v>
      </c>
      <c r="H23" s="38">
        <f t="shared" si="6"/>
        <v>0.1552</v>
      </c>
      <c r="I23" s="38">
        <f t="shared" si="7"/>
        <v>0.22289999999999999</v>
      </c>
      <c r="J23" s="8">
        <f t="shared" si="8"/>
        <v>91</v>
      </c>
      <c r="K23" s="8">
        <f t="shared" si="9"/>
        <v>1.79</v>
      </c>
      <c r="L23" s="8">
        <f t="shared" si="10"/>
        <v>88</v>
      </c>
      <c r="M23" s="8">
        <f t="shared" si="11"/>
        <v>1.51</v>
      </c>
      <c r="N23" s="8">
        <f t="shared" si="12"/>
        <v>3.3</v>
      </c>
      <c r="O23" s="38">
        <f t="shared" si="13"/>
        <v>3.6789297658862873E-2</v>
      </c>
      <c r="P23" s="8">
        <f t="shared" si="14"/>
        <v>91</v>
      </c>
      <c r="Q23" s="8">
        <f t="shared" si="15"/>
        <v>1.79</v>
      </c>
      <c r="R23" s="38">
        <f t="shared" si="16"/>
        <v>1.9955406911928649E-2</v>
      </c>
      <c r="S23" s="8">
        <f t="shared" si="17"/>
        <v>88</v>
      </c>
      <c r="T23" s="8">
        <f t="shared" si="18"/>
        <v>1.51</v>
      </c>
      <c r="U23" s="38">
        <f t="shared" si="19"/>
        <v>1.6833890746934223E-2</v>
      </c>
      <c r="V23" s="8" t="str">
        <f t="shared" si="20"/>
        <v>2026-05-13</v>
      </c>
      <c r="W23" s="38">
        <f t="shared" si="21"/>
        <v>0.43899700000000003</v>
      </c>
      <c r="X23" s="38">
        <f t="shared" si="22"/>
        <v>0.36631999999999998</v>
      </c>
      <c r="Y23" s="38">
        <f t="shared" si="23"/>
        <v>0.19468299999999994</v>
      </c>
      <c r="Z23" s="38">
        <f t="shared" si="24"/>
        <v>0.80531700000000006</v>
      </c>
      <c r="AA23" s="38">
        <f t="shared" si="25"/>
        <v>1.4492753623188373E-2</v>
      </c>
      <c r="AB23" s="38">
        <f t="shared" si="26"/>
        <v>1.8952062430323331E-2</v>
      </c>
      <c r="AC23" s="8">
        <f t="shared" si="27"/>
        <v>3</v>
      </c>
      <c r="AD23" s="8" t="str">
        <f t="shared" si="28"/>
        <v>🚫 NO</v>
      </c>
      <c r="AE23" s="8">
        <f t="shared" si="29"/>
        <v>94</v>
      </c>
      <c r="AF23" s="8">
        <f t="shared" si="30"/>
        <v>0.7</v>
      </c>
      <c r="AG23" s="8">
        <f t="shared" si="31"/>
        <v>86</v>
      </c>
      <c r="AH23" s="8">
        <f t="shared" si="32"/>
        <v>0.89</v>
      </c>
      <c r="AI23" s="38">
        <f t="shared" si="33"/>
        <v>0.58421800000000002</v>
      </c>
      <c r="AJ23" s="38">
        <f t="shared" si="34"/>
        <v>0.59944900000000001</v>
      </c>
      <c r="AK23" s="38">
        <f t="shared" si="35"/>
        <v>0.35020889588199999</v>
      </c>
      <c r="AL23" s="38">
        <f t="shared" si="36"/>
        <v>0.69444399999999995</v>
      </c>
      <c r="AM23" s="38">
        <f t="shared" si="37"/>
        <v>2.3857E-2</v>
      </c>
      <c r="AN23" s="9">
        <f t="shared" si="38"/>
        <v>2.37</v>
      </c>
      <c r="AO23" s="44" t="str">
        <f t="shared" si="39"/>
        <v>🟢 IV&gt;RV</v>
      </c>
      <c r="AP23" s="44" t="str">
        <f t="shared" si="40"/>
        <v>🟡 Moderate</v>
      </c>
      <c r="AQ23" s="6"/>
      <c r="AR23" s="6"/>
      <c r="AS23" s="10" t="str">
        <f t="shared" si="41"/>
        <v/>
      </c>
      <c r="AT23" s="10" t="str">
        <f t="shared" si="42"/>
        <v/>
      </c>
      <c r="AU23" s="10" t="str">
        <f t="shared" si="43"/>
        <v/>
      </c>
    </row>
    <row r="24" spans="1:47" ht="15" customHeight="1" x14ac:dyDescent="0.25">
      <c r="A24" s="4" t="s">
        <v>81</v>
      </c>
      <c r="B24" s="4">
        <f t="shared" si="0"/>
        <v>22.5</v>
      </c>
      <c r="C24" s="4">
        <f t="shared" si="1"/>
        <v>0.57279999999999998</v>
      </c>
      <c r="D24" s="40" t="str">
        <f t="shared" si="2"/>
        <v>Industrials</v>
      </c>
      <c r="E24" s="40" t="str">
        <f t="shared" si="3"/>
        <v>Industrial Distribution</v>
      </c>
      <c r="F24" s="4">
        <f t="shared" si="4"/>
        <v>3</v>
      </c>
      <c r="G24" s="40" t="str">
        <f t="shared" si="5"/>
        <v>50d:1.1% 200d:7.5% 1m:20.7% 3m:-4.3%</v>
      </c>
      <c r="H24" s="37">
        <f t="shared" si="6"/>
        <v>0.20710000000000001</v>
      </c>
      <c r="I24" s="37">
        <f t="shared" si="7"/>
        <v>-4.3400000000000001E-2</v>
      </c>
      <c r="J24" s="4">
        <f t="shared" si="8"/>
        <v>23</v>
      </c>
      <c r="K24" s="4">
        <f t="shared" si="9"/>
        <v>0.8</v>
      </c>
      <c r="L24" s="4">
        <f t="shared" si="10"/>
        <v>22</v>
      </c>
      <c r="M24" s="4">
        <f t="shared" si="11"/>
        <v>0.7</v>
      </c>
      <c r="N24" s="4">
        <f t="shared" si="12"/>
        <v>1.5</v>
      </c>
      <c r="O24" s="37">
        <f t="shared" si="13"/>
        <v>6.6666666666666666E-2</v>
      </c>
      <c r="P24" s="4">
        <f t="shared" si="14"/>
        <v>23</v>
      </c>
      <c r="Q24" s="4">
        <f t="shared" si="15"/>
        <v>0.8</v>
      </c>
      <c r="R24" s="37">
        <f t="shared" si="16"/>
        <v>3.5555555555555556E-2</v>
      </c>
      <c r="S24" s="4">
        <f t="shared" si="17"/>
        <v>22</v>
      </c>
      <c r="T24" s="4">
        <f t="shared" si="18"/>
        <v>0.7</v>
      </c>
      <c r="U24" s="37">
        <f t="shared" si="19"/>
        <v>3.111111111111111E-2</v>
      </c>
      <c r="V24" s="4" t="str">
        <f t="shared" si="20"/>
        <v>2026-05-14</v>
      </c>
      <c r="W24" s="37">
        <f t="shared" si="21"/>
        <v>0.468225</v>
      </c>
      <c r="X24" s="37">
        <f t="shared" si="22"/>
        <v>0.40093200000000001</v>
      </c>
      <c r="Y24" s="37">
        <f t="shared" si="23"/>
        <v>0.13084299999999999</v>
      </c>
      <c r="Z24" s="37">
        <f t="shared" si="24"/>
        <v>0.86915699999999996</v>
      </c>
      <c r="AA24" s="37">
        <f t="shared" si="25"/>
        <v>2.2222222222222223E-2</v>
      </c>
      <c r="AB24" s="37">
        <f t="shared" si="26"/>
        <v>2.2222222222222223E-2</v>
      </c>
      <c r="AC24" s="4">
        <f t="shared" si="27"/>
        <v>1</v>
      </c>
      <c r="AD24" s="4" t="str">
        <f t="shared" si="28"/>
        <v>✅ YES</v>
      </c>
      <c r="AE24" s="4">
        <f t="shared" si="29"/>
        <v>25</v>
      </c>
      <c r="AF24" s="4">
        <f t="shared" si="30"/>
        <v>0.35</v>
      </c>
      <c r="AG24" s="4">
        <f t="shared" si="31"/>
        <v>20.5</v>
      </c>
      <c r="AH24" s="4">
        <f t="shared" si="32"/>
        <v>0.3</v>
      </c>
      <c r="AI24" s="37">
        <f t="shared" si="33"/>
        <v>0.58988700000000005</v>
      </c>
      <c r="AJ24" s="37">
        <f t="shared" si="34"/>
        <v>0.55395899999999998</v>
      </c>
      <c r="AK24" s="37">
        <f t="shared" si="35"/>
        <v>0.32677321263300002</v>
      </c>
      <c r="AL24" s="37">
        <f t="shared" si="36"/>
        <v>0.31746000000000002</v>
      </c>
      <c r="AM24" s="37">
        <f t="shared" si="37"/>
        <v>5.6444000000000001E-2</v>
      </c>
      <c r="AN24" s="5">
        <f t="shared" si="38"/>
        <v>7.55</v>
      </c>
      <c r="AO24" s="43" t="str">
        <f t="shared" si="39"/>
        <v>🟡 Moderate</v>
      </c>
      <c r="AP24" s="43" t="str">
        <f t="shared" si="40"/>
        <v>🔴 Choppy</v>
      </c>
      <c r="AQ24" s="6"/>
      <c r="AR24" s="6"/>
      <c r="AS24" s="7" t="str">
        <f t="shared" si="41"/>
        <v/>
      </c>
      <c r="AT24" s="7" t="str">
        <f t="shared" si="42"/>
        <v/>
      </c>
      <c r="AU24" s="7" t="str">
        <f t="shared" si="43"/>
        <v/>
      </c>
    </row>
    <row r="25" spans="1:47" ht="15" customHeight="1" x14ac:dyDescent="0.25">
      <c r="A25" s="8" t="s">
        <v>82</v>
      </c>
      <c r="B25" s="8">
        <f t="shared" si="0"/>
        <v>41.34</v>
      </c>
      <c r="C25" s="8">
        <f t="shared" si="1"/>
        <v>0.77890000000000004</v>
      </c>
      <c r="D25" s="41" t="str">
        <f t="shared" si="2"/>
        <v>Technology</v>
      </c>
      <c r="E25" s="41" t="str">
        <f t="shared" si="3"/>
        <v>Software - Application</v>
      </c>
      <c r="F25" s="8">
        <f t="shared" si="4"/>
        <v>4</v>
      </c>
      <c r="G25" s="41" t="str">
        <f t="shared" si="5"/>
        <v>50d:13.6% 200d:35.6% 1m:9.9% 3m:60.2%</v>
      </c>
      <c r="H25" s="38">
        <f t="shared" si="6"/>
        <v>9.8599999999999993E-2</v>
      </c>
      <c r="I25" s="38">
        <f t="shared" si="7"/>
        <v>0.60170000000000001</v>
      </c>
      <c r="J25" s="8">
        <f t="shared" si="8"/>
        <v>42</v>
      </c>
      <c r="K25" s="8">
        <f t="shared" si="9"/>
        <v>2.65</v>
      </c>
      <c r="L25" s="8">
        <f t="shared" si="10"/>
        <v>41</v>
      </c>
      <c r="M25" s="8">
        <f t="shared" si="11"/>
        <v>2.75</v>
      </c>
      <c r="N25" s="8">
        <f t="shared" si="12"/>
        <v>5.4</v>
      </c>
      <c r="O25" s="38">
        <f t="shared" si="13"/>
        <v>0.13062409288824384</v>
      </c>
      <c r="P25" s="8">
        <f t="shared" si="14"/>
        <v>42</v>
      </c>
      <c r="Q25" s="8">
        <f t="shared" si="15"/>
        <v>2.65</v>
      </c>
      <c r="R25" s="38">
        <f t="shared" si="16"/>
        <v>6.4102564102564097E-2</v>
      </c>
      <c r="S25" s="8">
        <f t="shared" si="17"/>
        <v>41</v>
      </c>
      <c r="T25" s="8">
        <f t="shared" si="18"/>
        <v>2.75</v>
      </c>
      <c r="U25" s="38">
        <f t="shared" si="19"/>
        <v>6.6521528785679726E-2</v>
      </c>
      <c r="V25" s="8" t="str">
        <f t="shared" si="20"/>
        <v>2026-05-07</v>
      </c>
      <c r="W25" s="38">
        <f t="shared" si="21"/>
        <v>0.51353300000000002</v>
      </c>
      <c r="X25" s="38">
        <f t="shared" si="22"/>
        <v>0.43995899999999999</v>
      </c>
      <c r="Y25" s="38">
        <f t="shared" si="23"/>
        <v>4.6507999999999994E-2</v>
      </c>
      <c r="Z25" s="38">
        <f t="shared" si="24"/>
        <v>0.95349200000000001</v>
      </c>
      <c r="AA25" s="38">
        <f t="shared" si="25"/>
        <v>1.5965166908563051E-2</v>
      </c>
      <c r="AB25" s="38">
        <f t="shared" si="26"/>
        <v>8.2244799225932117E-3</v>
      </c>
      <c r="AC25" s="8">
        <f t="shared" si="27"/>
        <v>1</v>
      </c>
      <c r="AD25" s="8" t="str">
        <f t="shared" si="28"/>
        <v>🚫 NO</v>
      </c>
      <c r="AE25" s="8">
        <f t="shared" si="29"/>
        <v>49</v>
      </c>
      <c r="AF25" s="8">
        <f t="shared" si="30"/>
        <v>0.7</v>
      </c>
      <c r="AG25" s="8">
        <f t="shared" si="31"/>
        <v>37</v>
      </c>
      <c r="AH25" s="8">
        <f t="shared" si="32"/>
        <v>1.05</v>
      </c>
      <c r="AI25" s="38">
        <f t="shared" si="33"/>
        <v>0.56690600000000002</v>
      </c>
      <c r="AJ25" s="38">
        <f t="shared" si="34"/>
        <v>0.49051299999999998</v>
      </c>
      <c r="AK25" s="38">
        <f t="shared" si="35"/>
        <v>0.27807476277799997</v>
      </c>
      <c r="AL25" s="38">
        <f t="shared" si="36"/>
        <v>0.88095199999999996</v>
      </c>
      <c r="AM25" s="38">
        <f t="shared" si="37"/>
        <v>5.4184999999999997E-2</v>
      </c>
      <c r="AN25" s="9">
        <f t="shared" si="38"/>
        <v>3.25</v>
      </c>
      <c r="AO25" s="44" t="str">
        <f t="shared" si="39"/>
        <v>🟢 IV&gt;RV</v>
      </c>
      <c r="AP25" s="44" t="str">
        <f t="shared" si="40"/>
        <v>🔴 Choppy</v>
      </c>
      <c r="AQ25" s="6"/>
      <c r="AR25" s="6"/>
      <c r="AS25" s="10" t="str">
        <f t="shared" si="41"/>
        <v/>
      </c>
      <c r="AT25" s="10" t="str">
        <f t="shared" si="42"/>
        <v/>
      </c>
      <c r="AU25" s="10" t="str">
        <f t="shared" si="43"/>
        <v/>
      </c>
    </row>
    <row r="26" spans="1:47" ht="11.25" customHeight="1" x14ac:dyDescent="0.25">
      <c r="AI26" s="39"/>
      <c r="AJ26" s="39"/>
      <c r="AK26" s="39"/>
      <c r="AL26" s="39"/>
      <c r="AM26" s="39"/>
    </row>
    <row r="27" spans="1:47" ht="32.1" customHeight="1" x14ac:dyDescent="0.25">
      <c r="A27" s="52" t="s">
        <v>83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</row>
  </sheetData>
  <mergeCells count="13">
    <mergeCell ref="A27:AU27"/>
    <mergeCell ref="AE4:AH4"/>
    <mergeCell ref="AL4:AP4"/>
    <mergeCell ref="A4:D4"/>
    <mergeCell ref="F4:I4"/>
    <mergeCell ref="S4:U4"/>
    <mergeCell ref="AI4:AK4"/>
    <mergeCell ref="A1:AU1"/>
    <mergeCell ref="J4:O4"/>
    <mergeCell ref="P4:R4"/>
    <mergeCell ref="AQ4:AU4"/>
    <mergeCell ref="W4:AD4"/>
    <mergeCell ref="A2:AU2"/>
  </mergeCells>
  <conditionalFormatting sqref="H6:H2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I2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O2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:R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:U2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:W2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:X2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:Y2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:Z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:AA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:AB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:AI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:AJ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:AK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:AM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pane ySplit="4" topLeftCell="A5" activePane="bottomLeft" state="frozen"/>
      <selection pane="bottomLeft" activeCell="E4" sqref="E4"/>
    </sheetView>
  </sheetViews>
  <sheetFormatPr defaultRowHeight="15" x14ac:dyDescent="0.25"/>
  <cols>
    <col min="1" max="1" width="8" customWidth="1"/>
    <col min="2" max="2" width="22" customWidth="1"/>
    <col min="3" max="3" width="9" customWidth="1"/>
    <col min="4" max="4" width="8" customWidth="1"/>
    <col min="5" max="5" width="18" customWidth="1"/>
    <col min="6" max="12" width="9" customWidth="1"/>
  </cols>
  <sheetData>
    <row r="1" spans="1:12" ht="21.95" customHeight="1" x14ac:dyDescent="0.25">
      <c r="A1" s="47" t="s">
        <v>84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4.1" customHeight="1" x14ac:dyDescent="0.25">
      <c r="A2" s="55" t="s">
        <v>85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4" customHeight="1" x14ac:dyDescent="0.25">
      <c r="A3" s="53" t="s">
        <v>86</v>
      </c>
      <c r="B3" s="54"/>
      <c r="C3" s="3"/>
      <c r="D3" s="3" t="s">
        <v>87</v>
      </c>
      <c r="E3" s="3" t="s">
        <v>19</v>
      </c>
      <c r="F3" s="53" t="s">
        <v>88</v>
      </c>
      <c r="G3" s="54"/>
      <c r="H3" s="53" t="s">
        <v>89</v>
      </c>
      <c r="I3" s="54"/>
      <c r="J3" s="3" t="s">
        <v>90</v>
      </c>
      <c r="K3" s="3" t="s">
        <v>91</v>
      </c>
      <c r="L3" s="3" t="s">
        <v>92</v>
      </c>
    </row>
    <row r="4" spans="1:12" ht="27.95" customHeight="1" x14ac:dyDescent="0.25">
      <c r="A4" s="3" t="s">
        <v>16</v>
      </c>
      <c r="B4" s="3" t="s">
        <v>93</v>
      </c>
      <c r="C4" s="3" t="s">
        <v>17</v>
      </c>
      <c r="D4" s="3" t="s">
        <v>94</v>
      </c>
      <c r="E4" s="3" t="s">
        <v>19</v>
      </c>
      <c r="F4" s="3" t="s">
        <v>95</v>
      </c>
      <c r="G4" s="3" t="s">
        <v>26</v>
      </c>
      <c r="H4" s="3" t="s">
        <v>96</v>
      </c>
      <c r="I4" s="3" t="s">
        <v>28</v>
      </c>
      <c r="J4" s="3" t="s">
        <v>97</v>
      </c>
      <c r="K4" s="3" t="s">
        <v>91</v>
      </c>
      <c r="L4" s="3" t="s">
        <v>92</v>
      </c>
    </row>
    <row r="5" spans="1:12" ht="15" customHeight="1" x14ac:dyDescent="0.25">
      <c r="A5" s="12" t="s">
        <v>63</v>
      </c>
      <c r="B5" s="13" t="s">
        <v>98</v>
      </c>
      <c r="C5" s="14">
        <v>10.62</v>
      </c>
      <c r="D5" s="15">
        <v>0.59389999999999998</v>
      </c>
      <c r="E5" s="13" t="s">
        <v>99</v>
      </c>
      <c r="F5" s="14">
        <v>11</v>
      </c>
      <c r="G5" s="14">
        <v>0.42</v>
      </c>
      <c r="H5" s="14">
        <v>10</v>
      </c>
      <c r="I5" s="14">
        <v>1</v>
      </c>
      <c r="J5" s="15">
        <v>0.13400000000000001</v>
      </c>
      <c r="K5" s="15">
        <v>9.4E-2</v>
      </c>
      <c r="L5" s="15">
        <v>0.04</v>
      </c>
    </row>
    <row r="6" spans="1:12" ht="15" customHeight="1" x14ac:dyDescent="0.25">
      <c r="A6" s="16" t="s">
        <v>64</v>
      </c>
      <c r="B6" s="17" t="s">
        <v>100</v>
      </c>
      <c r="C6" s="18">
        <v>107.86</v>
      </c>
      <c r="D6" s="19">
        <v>0.3896</v>
      </c>
      <c r="E6" s="17" t="s">
        <v>101</v>
      </c>
      <c r="F6" s="18">
        <v>110</v>
      </c>
      <c r="G6" s="18">
        <v>3.4</v>
      </c>
      <c r="H6" s="18">
        <v>106</v>
      </c>
      <c r="I6" s="18">
        <v>3</v>
      </c>
      <c r="J6" s="19">
        <v>5.8999999999999997E-2</v>
      </c>
      <c r="K6" s="19">
        <v>2.8000000000000001E-2</v>
      </c>
      <c r="L6" s="19">
        <v>3.2000000000000001E-2</v>
      </c>
    </row>
    <row r="7" spans="1:12" ht="15" customHeight="1" x14ac:dyDescent="0.25">
      <c r="A7" s="12" t="s">
        <v>65</v>
      </c>
      <c r="B7" s="13" t="s">
        <v>102</v>
      </c>
      <c r="C7" s="14">
        <v>23.22</v>
      </c>
      <c r="D7" s="15">
        <v>0.35049999999999998</v>
      </c>
      <c r="E7" s="13" t="s">
        <v>101</v>
      </c>
      <c r="F7" s="14">
        <v>24</v>
      </c>
      <c r="G7" s="14">
        <v>0.35</v>
      </c>
      <c r="H7" s="14">
        <v>22.5</v>
      </c>
      <c r="I7" s="14">
        <v>0.44</v>
      </c>
      <c r="J7" s="15">
        <v>3.4000000000000002E-2</v>
      </c>
      <c r="K7" s="15">
        <v>1.9E-2</v>
      </c>
      <c r="L7" s="15">
        <v>1.4999999999999999E-2</v>
      </c>
    </row>
    <row r="8" spans="1:12" ht="15" customHeight="1" x14ac:dyDescent="0.25">
      <c r="A8" s="16" t="s">
        <v>66</v>
      </c>
      <c r="B8" s="17" t="s">
        <v>103</v>
      </c>
      <c r="C8" s="18">
        <v>28.93</v>
      </c>
      <c r="D8" s="19">
        <v>0.40689999999999998</v>
      </c>
      <c r="E8" s="17" t="s">
        <v>101</v>
      </c>
      <c r="F8" s="18">
        <v>30</v>
      </c>
      <c r="G8" s="18">
        <v>0.73</v>
      </c>
      <c r="H8" s="18">
        <v>28</v>
      </c>
      <c r="I8" s="18">
        <v>0.67</v>
      </c>
      <c r="J8" s="19">
        <v>4.8000000000000001E-2</v>
      </c>
      <c r="K8" s="19">
        <v>2.3E-2</v>
      </c>
      <c r="L8" s="19">
        <v>2.5000000000000001E-2</v>
      </c>
    </row>
    <row r="9" spans="1:12" ht="15" customHeight="1" x14ac:dyDescent="0.25">
      <c r="A9" s="12" t="s">
        <v>67</v>
      </c>
      <c r="B9" s="13" t="s">
        <v>104</v>
      </c>
      <c r="C9" s="14">
        <v>68.599999999999994</v>
      </c>
      <c r="D9" s="15">
        <v>0.42730000000000001</v>
      </c>
      <c r="E9" s="13" t="s">
        <v>101</v>
      </c>
      <c r="F9" s="14">
        <v>70</v>
      </c>
      <c r="G9" s="14">
        <v>2.2999999999999998</v>
      </c>
      <c r="H9" s="14">
        <v>67</v>
      </c>
      <c r="I9" s="14">
        <v>2.2999999999999998</v>
      </c>
      <c r="J9" s="15">
        <v>6.7000000000000004E-2</v>
      </c>
      <c r="K9" s="15">
        <v>3.4000000000000002E-2</v>
      </c>
      <c r="L9" s="15">
        <v>3.4000000000000002E-2</v>
      </c>
    </row>
    <row r="10" spans="1:12" ht="15" customHeight="1" x14ac:dyDescent="0.25">
      <c r="A10" s="16" t="s">
        <v>68</v>
      </c>
      <c r="B10" s="17" t="s">
        <v>105</v>
      </c>
      <c r="C10" s="18">
        <v>75.73</v>
      </c>
      <c r="D10" s="19">
        <v>0.29770000000000002</v>
      </c>
      <c r="E10" s="17" t="s">
        <v>106</v>
      </c>
      <c r="F10" s="18">
        <v>77</v>
      </c>
      <c r="G10" s="18">
        <v>1.5</v>
      </c>
      <c r="H10" s="18">
        <v>74</v>
      </c>
      <c r="I10" s="18">
        <v>1.45</v>
      </c>
      <c r="J10" s="19">
        <v>3.9E-2</v>
      </c>
      <c r="K10" s="19">
        <v>1.9E-2</v>
      </c>
      <c r="L10" s="19">
        <v>0.02</v>
      </c>
    </row>
    <row r="11" spans="1:12" ht="15" customHeight="1" x14ac:dyDescent="0.25">
      <c r="A11" s="12" t="s">
        <v>69</v>
      </c>
      <c r="B11" s="13" t="s">
        <v>107</v>
      </c>
      <c r="C11" s="14">
        <v>13.53</v>
      </c>
      <c r="D11" s="15">
        <v>0.79530000000000001</v>
      </c>
      <c r="E11" s="13" t="s">
        <v>108</v>
      </c>
      <c r="F11" s="14">
        <v>14</v>
      </c>
      <c r="G11" s="14">
        <v>0.95</v>
      </c>
      <c r="H11" s="14">
        <v>13</v>
      </c>
      <c r="I11" s="14">
        <v>0.88</v>
      </c>
      <c r="J11" s="15">
        <v>0.13500000000000001</v>
      </c>
      <c r="K11" s="15">
        <v>6.5000000000000002E-2</v>
      </c>
      <c r="L11" s="15">
        <v>7.0000000000000007E-2</v>
      </c>
    </row>
    <row r="12" spans="1:12" ht="15" customHeight="1" x14ac:dyDescent="0.25">
      <c r="A12" s="16" t="s">
        <v>70</v>
      </c>
      <c r="B12" s="17" t="s">
        <v>109</v>
      </c>
      <c r="C12" s="18">
        <v>60.56</v>
      </c>
      <c r="D12" s="19">
        <v>0.27189999999999998</v>
      </c>
      <c r="E12" s="17" t="s">
        <v>110</v>
      </c>
      <c r="F12" s="18">
        <v>61.5</v>
      </c>
      <c r="G12" s="18">
        <v>1.19</v>
      </c>
      <c r="H12" s="18">
        <v>59.5</v>
      </c>
      <c r="I12" s="18">
        <v>1.1200000000000001</v>
      </c>
      <c r="J12" s="19">
        <v>3.7999999999999999E-2</v>
      </c>
      <c r="K12" s="19">
        <v>1.7999999999999999E-2</v>
      </c>
      <c r="L12" s="19">
        <v>0.02</v>
      </c>
    </row>
    <row r="13" spans="1:12" ht="15" customHeight="1" x14ac:dyDescent="0.25">
      <c r="A13" s="12" t="s">
        <v>71</v>
      </c>
      <c r="B13" s="13" t="s">
        <v>111</v>
      </c>
      <c r="C13" s="14">
        <v>17.05</v>
      </c>
      <c r="D13" s="15">
        <v>0.62309999999999999</v>
      </c>
      <c r="E13" s="13" t="s">
        <v>110</v>
      </c>
      <c r="F13" s="14">
        <v>17.5</v>
      </c>
      <c r="G13" s="14">
        <v>0.82</v>
      </c>
      <c r="H13" s="14">
        <v>16.5</v>
      </c>
      <c r="I13" s="14">
        <v>0.84</v>
      </c>
      <c r="J13" s="15">
        <v>9.7000000000000003E-2</v>
      </c>
      <c r="K13" s="15">
        <v>4.9000000000000002E-2</v>
      </c>
      <c r="L13" s="15">
        <v>4.8000000000000001E-2</v>
      </c>
    </row>
    <row r="14" spans="1:12" ht="15" customHeight="1" x14ac:dyDescent="0.25">
      <c r="A14" s="16" t="s">
        <v>72</v>
      </c>
      <c r="B14" s="17" t="s">
        <v>112</v>
      </c>
      <c r="C14" s="18">
        <v>88.13</v>
      </c>
      <c r="D14" s="19">
        <v>0.25269999999999998</v>
      </c>
      <c r="E14" s="17" t="s">
        <v>110</v>
      </c>
      <c r="F14" s="18">
        <v>89.5</v>
      </c>
      <c r="G14" s="18">
        <v>1.6</v>
      </c>
      <c r="H14" s="18">
        <v>86.5</v>
      </c>
      <c r="I14" s="18">
        <v>1.45</v>
      </c>
      <c r="J14" s="19">
        <v>3.5000000000000003E-2</v>
      </c>
      <c r="K14" s="19">
        <v>1.6E-2</v>
      </c>
      <c r="L14" s="19">
        <v>1.7999999999999999E-2</v>
      </c>
    </row>
    <row r="15" spans="1:12" ht="15" customHeight="1" x14ac:dyDescent="0.25">
      <c r="A15" s="12" t="s">
        <v>73</v>
      </c>
      <c r="B15" s="13" t="s">
        <v>113</v>
      </c>
      <c r="C15" s="14">
        <v>41.33</v>
      </c>
      <c r="D15" s="15">
        <v>0.32529999999999998</v>
      </c>
      <c r="E15" s="13" t="s">
        <v>110</v>
      </c>
      <c r="F15" s="14">
        <v>42</v>
      </c>
      <c r="G15" s="14">
        <v>1.01</v>
      </c>
      <c r="H15" s="14">
        <v>40.5</v>
      </c>
      <c r="I15" s="14">
        <v>0.89</v>
      </c>
      <c r="J15" s="15">
        <v>4.5999999999999999E-2</v>
      </c>
      <c r="K15" s="15">
        <v>2.1999999999999999E-2</v>
      </c>
      <c r="L15" s="15">
        <v>2.4E-2</v>
      </c>
    </row>
    <row r="16" spans="1:12" ht="15" customHeight="1" x14ac:dyDescent="0.25">
      <c r="A16" s="16" t="s">
        <v>74</v>
      </c>
      <c r="B16" s="17" t="s">
        <v>114</v>
      </c>
      <c r="C16" s="18">
        <v>89.56</v>
      </c>
      <c r="D16" s="19">
        <v>0.27289999999999998</v>
      </c>
      <c r="E16" s="17" t="s">
        <v>110</v>
      </c>
      <c r="F16" s="18">
        <v>91</v>
      </c>
      <c r="G16" s="18">
        <v>1.95</v>
      </c>
      <c r="H16" s="18">
        <v>88</v>
      </c>
      <c r="I16" s="18">
        <v>1.7</v>
      </c>
      <c r="J16" s="19">
        <v>4.1000000000000002E-2</v>
      </c>
      <c r="K16" s="19">
        <v>1.9E-2</v>
      </c>
      <c r="L16" s="19">
        <v>2.1999999999999999E-2</v>
      </c>
    </row>
    <row r="17" spans="1:12" ht="15" customHeight="1" x14ac:dyDescent="0.25">
      <c r="A17" s="12" t="s">
        <v>75</v>
      </c>
      <c r="B17" s="13" t="s">
        <v>115</v>
      </c>
      <c r="C17" s="14">
        <v>41.56</v>
      </c>
      <c r="D17" s="15">
        <v>0.4199</v>
      </c>
      <c r="E17" s="13" t="s">
        <v>110</v>
      </c>
      <c r="F17" s="14">
        <v>42.5</v>
      </c>
      <c r="G17" s="14">
        <v>1.48</v>
      </c>
      <c r="H17" s="14">
        <v>40.5</v>
      </c>
      <c r="I17" s="14">
        <v>1.36</v>
      </c>
      <c r="J17" s="15">
        <v>6.8000000000000005E-2</v>
      </c>
      <c r="K17" s="15">
        <v>3.3000000000000002E-2</v>
      </c>
      <c r="L17" s="15">
        <v>3.5999999999999997E-2</v>
      </c>
    </row>
    <row r="18" spans="1:12" ht="15" customHeight="1" x14ac:dyDescent="0.25">
      <c r="A18" s="16" t="s">
        <v>76</v>
      </c>
      <c r="B18" s="17" t="s">
        <v>116</v>
      </c>
      <c r="C18" s="18">
        <v>68.94</v>
      </c>
      <c r="D18" s="19">
        <v>0.28660000000000002</v>
      </c>
      <c r="E18" s="17" t="s">
        <v>110</v>
      </c>
      <c r="F18" s="18">
        <v>70</v>
      </c>
      <c r="G18" s="18">
        <v>1.38</v>
      </c>
      <c r="H18" s="18">
        <v>67</v>
      </c>
      <c r="I18" s="18">
        <v>1</v>
      </c>
      <c r="J18" s="19">
        <v>3.5000000000000003E-2</v>
      </c>
      <c r="K18" s="19">
        <v>1.4999999999999999E-2</v>
      </c>
      <c r="L18" s="19">
        <v>0.02</v>
      </c>
    </row>
    <row r="19" spans="1:12" ht="15" customHeight="1" x14ac:dyDescent="0.25">
      <c r="A19" s="12" t="s">
        <v>77</v>
      </c>
      <c r="B19" s="13" t="s">
        <v>117</v>
      </c>
      <c r="C19" s="14">
        <v>31.41</v>
      </c>
      <c r="D19" s="15">
        <v>0.62670000000000003</v>
      </c>
      <c r="E19" s="13" t="s">
        <v>110</v>
      </c>
      <c r="F19" s="14">
        <v>32</v>
      </c>
      <c r="G19" s="14">
        <v>1.73</v>
      </c>
      <c r="H19" s="14">
        <v>30.5</v>
      </c>
      <c r="I19" s="14">
        <v>1.52</v>
      </c>
      <c r="J19" s="15">
        <v>0.10299999999999999</v>
      </c>
      <c r="K19" s="15">
        <v>4.8000000000000001E-2</v>
      </c>
      <c r="L19" s="15">
        <v>5.5E-2</v>
      </c>
    </row>
    <row r="20" spans="1:12" ht="15" customHeight="1" x14ac:dyDescent="0.25">
      <c r="A20" s="16" t="s">
        <v>78</v>
      </c>
      <c r="B20" s="17" t="s">
        <v>118</v>
      </c>
      <c r="C20" s="18">
        <v>67.819999999999993</v>
      </c>
      <c r="D20" s="19">
        <v>0.42659999999999998</v>
      </c>
      <c r="E20" s="17" t="s">
        <v>119</v>
      </c>
      <c r="F20" s="18">
        <v>69</v>
      </c>
      <c r="G20" s="18">
        <v>2.5099999999999998</v>
      </c>
      <c r="H20" s="18">
        <v>66</v>
      </c>
      <c r="I20" s="18">
        <v>2.25</v>
      </c>
      <c r="J20" s="19">
        <v>7.0000000000000007E-2</v>
      </c>
      <c r="K20" s="19">
        <v>3.3000000000000002E-2</v>
      </c>
      <c r="L20" s="19">
        <v>3.6999999999999998E-2</v>
      </c>
    </row>
    <row r="21" spans="1:12" ht="15" customHeight="1" x14ac:dyDescent="0.25">
      <c r="A21" s="12" t="s">
        <v>79</v>
      </c>
      <c r="B21" s="13" t="s">
        <v>120</v>
      </c>
      <c r="C21" s="14">
        <v>55.24</v>
      </c>
      <c r="D21" s="15">
        <v>0.69059999999999999</v>
      </c>
      <c r="E21" s="13" t="s">
        <v>121</v>
      </c>
      <c r="F21" s="14">
        <v>57</v>
      </c>
      <c r="G21" s="14">
        <v>3.45</v>
      </c>
      <c r="H21" s="14">
        <v>54</v>
      </c>
      <c r="I21" s="14">
        <v>1</v>
      </c>
      <c r="J21" s="15">
        <v>8.1000000000000003E-2</v>
      </c>
      <c r="K21" s="15">
        <v>1.7999999999999999E-2</v>
      </c>
      <c r="L21" s="15">
        <v>6.2E-2</v>
      </c>
    </row>
    <row r="22" spans="1:12" ht="15" customHeight="1" x14ac:dyDescent="0.25">
      <c r="A22" s="16" t="s">
        <v>80</v>
      </c>
      <c r="B22" s="17" t="s">
        <v>122</v>
      </c>
      <c r="C22" s="18">
        <v>82.22</v>
      </c>
      <c r="D22" s="19">
        <v>0.3402</v>
      </c>
      <c r="E22" s="17" t="s">
        <v>123</v>
      </c>
      <c r="F22" s="18">
        <v>84</v>
      </c>
      <c r="G22" s="18">
        <v>1.66</v>
      </c>
      <c r="H22" s="18">
        <v>80</v>
      </c>
      <c r="I22" s="18">
        <v>1.45</v>
      </c>
      <c r="J22" s="19">
        <v>3.7999999999999999E-2</v>
      </c>
      <c r="K22" s="19">
        <v>1.7999999999999999E-2</v>
      </c>
      <c r="L22" s="19">
        <v>0.02</v>
      </c>
    </row>
    <row r="23" spans="1:12" ht="15" customHeight="1" x14ac:dyDescent="0.25">
      <c r="A23" s="12" t="s">
        <v>81</v>
      </c>
      <c r="B23" s="13" t="s">
        <v>124</v>
      </c>
      <c r="C23" s="14">
        <v>21.93</v>
      </c>
      <c r="D23" s="15">
        <v>0.60560000000000003</v>
      </c>
      <c r="E23" s="13" t="s">
        <v>123</v>
      </c>
      <c r="F23" s="14">
        <v>22.5</v>
      </c>
      <c r="G23" s="14">
        <v>0.95</v>
      </c>
      <c r="H23" s="14">
        <v>21.5</v>
      </c>
      <c r="I23" s="14">
        <v>0.85</v>
      </c>
      <c r="J23" s="15">
        <v>8.2000000000000003E-2</v>
      </c>
      <c r="K23" s="15">
        <v>3.9E-2</v>
      </c>
      <c r="L23" s="15">
        <v>4.2999999999999997E-2</v>
      </c>
    </row>
    <row r="24" spans="1:12" ht="15" customHeight="1" x14ac:dyDescent="0.25">
      <c r="A24" s="16" t="s">
        <v>82</v>
      </c>
      <c r="B24" s="17" t="s">
        <v>125</v>
      </c>
      <c r="C24" s="18">
        <v>33.49</v>
      </c>
      <c r="D24" s="19">
        <v>0.75790000000000002</v>
      </c>
      <c r="E24" s="17" t="s">
        <v>123</v>
      </c>
      <c r="F24" s="18">
        <v>34</v>
      </c>
      <c r="G24" s="18">
        <v>2.0499999999999998</v>
      </c>
      <c r="H24" s="18">
        <v>32</v>
      </c>
      <c r="I24" s="18">
        <v>1.8</v>
      </c>
      <c r="J24" s="19">
        <v>0.115</v>
      </c>
      <c r="K24" s="19">
        <v>5.3999999999999999E-2</v>
      </c>
      <c r="L24" s="19">
        <v>6.0999999999999999E-2</v>
      </c>
    </row>
  </sheetData>
  <mergeCells count="5">
    <mergeCell ref="F3:G3"/>
    <mergeCell ref="A2:L2"/>
    <mergeCell ref="A1:L1"/>
    <mergeCell ref="A3:B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8"/>
  <sheetViews>
    <sheetView workbookViewId="0">
      <pane ySplit="5" topLeftCell="A6" activePane="bottomLeft" state="frozen"/>
      <selection pane="bottomLeft" activeCell="N10" sqref="N10"/>
    </sheetView>
  </sheetViews>
  <sheetFormatPr defaultRowHeight="15" x14ac:dyDescent="0.25"/>
  <cols>
    <col min="1" max="1" width="8" customWidth="1"/>
    <col min="2" max="2" width="18" customWidth="1"/>
    <col min="3" max="4" width="9" customWidth="1"/>
    <col min="5" max="6" width="8" customWidth="1"/>
    <col min="7" max="8" width="9" customWidth="1"/>
    <col min="9" max="9" width="8" customWidth="1"/>
    <col min="10" max="11" width="9" customWidth="1"/>
    <col min="12" max="12" width="8" customWidth="1"/>
    <col min="13" max="14" width="9" customWidth="1"/>
    <col min="15" max="19" width="8" customWidth="1"/>
    <col min="20" max="20" width="11" customWidth="1"/>
    <col min="21" max="21" width="9" customWidth="1"/>
  </cols>
  <sheetData>
    <row r="1" spans="1:21" ht="21.95" customHeight="1" x14ac:dyDescent="0.25">
      <c r="A1" s="47" t="s">
        <v>127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21" ht="14.1" customHeight="1" x14ac:dyDescent="0.25">
      <c r="A2" s="55" t="s">
        <v>128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21" ht="18" customHeight="1" x14ac:dyDescent="0.25">
      <c r="A3" s="58" t="s">
        <v>129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</row>
    <row r="4" spans="1:21" ht="14.1" customHeight="1" x14ac:dyDescent="0.25">
      <c r="A4" s="56" t="s">
        <v>130</v>
      </c>
      <c r="B4" s="54"/>
      <c r="C4" s="56" t="s">
        <v>131</v>
      </c>
      <c r="D4" s="57"/>
      <c r="E4" s="57"/>
      <c r="F4" s="54"/>
      <c r="G4" s="56" t="s">
        <v>132</v>
      </c>
      <c r="H4" s="57"/>
      <c r="I4" s="54"/>
      <c r="J4" s="56" t="s">
        <v>133</v>
      </c>
      <c r="K4" s="57"/>
      <c r="L4" s="54"/>
      <c r="M4" s="56" t="s">
        <v>134</v>
      </c>
      <c r="N4" s="54"/>
      <c r="O4" s="56" t="s">
        <v>135</v>
      </c>
      <c r="P4" s="57"/>
      <c r="Q4" s="57"/>
      <c r="R4" s="57"/>
      <c r="S4" s="54"/>
      <c r="T4" s="22" t="s">
        <v>10</v>
      </c>
      <c r="U4" s="22" t="s">
        <v>136</v>
      </c>
    </row>
    <row r="5" spans="1:21" ht="36" customHeight="1" x14ac:dyDescent="0.25">
      <c r="A5" s="3" t="s">
        <v>16</v>
      </c>
      <c r="B5" s="3" t="s">
        <v>19</v>
      </c>
      <c r="C5" s="3" t="s">
        <v>137</v>
      </c>
      <c r="D5" s="3" t="s">
        <v>138</v>
      </c>
      <c r="E5" s="3" t="s">
        <v>139</v>
      </c>
      <c r="F5" s="3" t="s">
        <v>140</v>
      </c>
      <c r="G5" s="3" t="s">
        <v>141</v>
      </c>
      <c r="H5" s="3" t="s">
        <v>142</v>
      </c>
      <c r="I5" s="3" t="s">
        <v>143</v>
      </c>
      <c r="J5" s="3" t="s">
        <v>144</v>
      </c>
      <c r="K5" s="3" t="s">
        <v>145</v>
      </c>
      <c r="L5" s="3" t="s">
        <v>146</v>
      </c>
      <c r="M5" s="3" t="s">
        <v>147</v>
      </c>
      <c r="N5" s="3" t="s">
        <v>148</v>
      </c>
      <c r="O5" s="3" t="s">
        <v>149</v>
      </c>
      <c r="P5" s="3" t="s">
        <v>150</v>
      </c>
      <c r="Q5" s="3" t="s">
        <v>151</v>
      </c>
      <c r="R5" s="3" t="s">
        <v>152</v>
      </c>
      <c r="S5" s="3" t="s">
        <v>153</v>
      </c>
      <c r="T5" s="3" t="s">
        <v>37</v>
      </c>
      <c r="U5" s="3" t="s">
        <v>154</v>
      </c>
    </row>
    <row r="6" spans="1:21" ht="15" customHeight="1" x14ac:dyDescent="0.25">
      <c r="A6" s="12" t="s">
        <v>63</v>
      </c>
      <c r="B6" s="13" t="s">
        <v>99</v>
      </c>
      <c r="C6" s="23">
        <v>10.62</v>
      </c>
      <c r="D6" s="23">
        <f>'Bull Strangle - Option Samurai'!B6</f>
        <v>11.61</v>
      </c>
      <c r="E6" s="23">
        <f t="shared" ref="E6:E25" si="0">IF(ISNUMBER(D6),D6-C6,"N/A")</f>
        <v>0.99000000000000021</v>
      </c>
      <c r="F6" s="23">
        <f t="shared" ref="F6:F25" si="1">IF(AND(ISNUMBER(D6),C6&lt;&gt;0),(D6-C6)/C6,"N/A")</f>
        <v>9.3220338983050877E-2</v>
      </c>
      <c r="G6" s="23">
        <v>11</v>
      </c>
      <c r="H6" s="23">
        <f>'Bull Strangle - Option Samurai'!J6</f>
        <v>12</v>
      </c>
      <c r="I6" s="23">
        <f t="shared" ref="I6:I25" si="2">IF(ISNUMBER(H6),H6-G6,"N/A")</f>
        <v>1</v>
      </c>
      <c r="J6" s="23">
        <v>10</v>
      </c>
      <c r="K6" s="23">
        <f>'Bull Strangle - Option Samurai'!L6</f>
        <v>11.5</v>
      </c>
      <c r="L6" s="23">
        <f t="shared" ref="L6:L25" si="3">IF(ISNUMBER(K6),K6-J6,"N/A")</f>
        <v>1.5</v>
      </c>
      <c r="M6" s="45">
        <v>0.13370000000000001</v>
      </c>
      <c r="N6" s="45">
        <f>'Bull Strangle - Option Samurai'!O6</f>
        <v>8.0103359173126623E-2</v>
      </c>
      <c r="O6" s="23">
        <v>0.42</v>
      </c>
      <c r="P6" s="23">
        <f>'Bull Strangle - Option Samurai'!K6</f>
        <v>0.38</v>
      </c>
      <c r="Q6" s="23">
        <v>1</v>
      </c>
      <c r="R6" s="23">
        <f>'Bull Strangle - Option Samurai'!M6</f>
        <v>0.55000000000000004</v>
      </c>
      <c r="S6" s="23">
        <f t="shared" ref="S6:S25" si="4">IF(AND(ISNUMBER(P6),ISNUMBER(R6)),(P6+R6)-(O6+Q6),"N/A")</f>
        <v>-0.48999999999999988</v>
      </c>
      <c r="T6" s="23" t="str">
        <f>'Bull Strangle - Option Samurai'!V6</f>
        <v>2026-05-04</v>
      </c>
      <c r="U6" s="23" t="str">
        <f>'Bull Strangle - Option Samurai'!AD6</f>
        <v>🚫 NO</v>
      </c>
    </row>
    <row r="7" spans="1:21" ht="15" customHeight="1" x14ac:dyDescent="0.25">
      <c r="A7" s="16" t="s">
        <v>64</v>
      </c>
      <c r="B7" s="17" t="s">
        <v>101</v>
      </c>
      <c r="C7" s="20">
        <v>107.86</v>
      </c>
      <c r="D7" s="20">
        <f>'Bull Strangle - Option Samurai'!B7</f>
        <v>110.17</v>
      </c>
      <c r="E7" s="20">
        <f t="shared" si="0"/>
        <v>2.3100000000000023</v>
      </c>
      <c r="F7" s="20">
        <f t="shared" si="1"/>
        <v>2.1416651214537383E-2</v>
      </c>
      <c r="G7" s="20">
        <v>110</v>
      </c>
      <c r="H7" s="20">
        <f>'Bull Strangle - Option Samurai'!J7</f>
        <v>112</v>
      </c>
      <c r="I7" s="20">
        <f t="shared" si="2"/>
        <v>2</v>
      </c>
      <c r="J7" s="20">
        <v>106</v>
      </c>
      <c r="K7" s="20">
        <f>'Bull Strangle - Option Samurai'!L7</f>
        <v>109</v>
      </c>
      <c r="L7" s="20">
        <f t="shared" si="3"/>
        <v>3</v>
      </c>
      <c r="M7" s="46">
        <v>5.9299999999999999E-2</v>
      </c>
      <c r="N7" s="46">
        <f>'Bull Strangle - Option Samurai'!O7</f>
        <v>5.0376690569120454E-2</v>
      </c>
      <c r="O7" s="20">
        <v>3.4</v>
      </c>
      <c r="P7" s="20">
        <f>'Bull Strangle - Option Samurai'!K7</f>
        <v>2.7</v>
      </c>
      <c r="Q7" s="20">
        <v>3</v>
      </c>
      <c r="R7" s="20">
        <f>'Bull Strangle - Option Samurai'!M7</f>
        <v>2.85</v>
      </c>
      <c r="S7" s="20">
        <f t="shared" si="4"/>
        <v>-0.84999999999999964</v>
      </c>
      <c r="T7" s="20" t="str">
        <f>'Bull Strangle - Option Samurai'!V7</f>
        <v>2026-05-21</v>
      </c>
      <c r="U7" s="20" t="str">
        <f>'Bull Strangle - Option Samurai'!AD7</f>
        <v>🚫 NO</v>
      </c>
    </row>
    <row r="8" spans="1:21" ht="15" customHeight="1" x14ac:dyDescent="0.25">
      <c r="A8" s="12" t="s">
        <v>65</v>
      </c>
      <c r="B8" s="13" t="s">
        <v>101</v>
      </c>
      <c r="C8" s="23">
        <v>23.22</v>
      </c>
      <c r="D8" s="23">
        <f>'Bull Strangle - Option Samurai'!B8</f>
        <v>24.46</v>
      </c>
      <c r="E8" s="23">
        <f t="shared" si="0"/>
        <v>1.240000000000002</v>
      </c>
      <c r="F8" s="23">
        <f t="shared" si="1"/>
        <v>5.3402239448751165E-2</v>
      </c>
      <c r="G8" s="23">
        <v>24</v>
      </c>
      <c r="H8" s="23">
        <f>'Bull Strangle - Option Samurai'!J8</f>
        <v>25</v>
      </c>
      <c r="I8" s="23">
        <f t="shared" si="2"/>
        <v>1</v>
      </c>
      <c r="J8" s="23">
        <v>22.5</v>
      </c>
      <c r="K8" s="23">
        <f>'Bull Strangle - Option Samurai'!L8</f>
        <v>24</v>
      </c>
      <c r="L8" s="23">
        <f t="shared" si="3"/>
        <v>1.5</v>
      </c>
      <c r="M8" s="45">
        <v>3.4000000000000002E-2</v>
      </c>
      <c r="N8" s="45">
        <f>'Bull Strangle - Option Samurai'!O8</f>
        <v>4.1291905151267377E-2</v>
      </c>
      <c r="O8" s="23">
        <v>0.35</v>
      </c>
      <c r="P8" s="23">
        <f>'Bull Strangle - Option Samurai'!K8</f>
        <v>0.64</v>
      </c>
      <c r="Q8" s="23">
        <v>0.44</v>
      </c>
      <c r="R8" s="23">
        <f>'Bull Strangle - Option Samurai'!M8</f>
        <v>0.37</v>
      </c>
      <c r="S8" s="23">
        <f t="shared" si="4"/>
        <v>0.21999999999999997</v>
      </c>
      <c r="T8" s="23" t="str">
        <f>'Bull Strangle - Option Samurai'!V8</f>
        <v>2026-06-09</v>
      </c>
      <c r="U8" s="23" t="str">
        <f>'Bull Strangle - Option Samurai'!AD8</f>
        <v>✅ YES</v>
      </c>
    </row>
    <row r="9" spans="1:21" ht="15" customHeight="1" x14ac:dyDescent="0.25">
      <c r="A9" s="16" t="s">
        <v>66</v>
      </c>
      <c r="B9" s="17" t="s">
        <v>101</v>
      </c>
      <c r="C9" s="20">
        <v>28.93</v>
      </c>
      <c r="D9" s="20">
        <f>'Bull Strangle - Option Samurai'!B9</f>
        <v>30.52</v>
      </c>
      <c r="E9" s="20">
        <f t="shared" si="0"/>
        <v>1.5899999999999999</v>
      </c>
      <c r="F9" s="20">
        <f t="shared" si="1"/>
        <v>5.4960248876598679E-2</v>
      </c>
      <c r="G9" s="20">
        <v>30</v>
      </c>
      <c r="H9" s="20">
        <f>'Bull Strangle - Option Samurai'!J9</f>
        <v>31</v>
      </c>
      <c r="I9" s="20">
        <f t="shared" si="2"/>
        <v>1</v>
      </c>
      <c r="J9" s="20">
        <v>28</v>
      </c>
      <c r="K9" s="20">
        <f>'Bull Strangle - Option Samurai'!L9</f>
        <v>30</v>
      </c>
      <c r="L9" s="20">
        <f t="shared" si="3"/>
        <v>2</v>
      </c>
      <c r="M9" s="46">
        <v>4.8399999999999999E-2</v>
      </c>
      <c r="N9" s="46">
        <f>'Bull Strangle - Option Samurai'!O9</f>
        <v>4.2922673656618615E-2</v>
      </c>
      <c r="O9" s="20">
        <v>0.73</v>
      </c>
      <c r="P9" s="20">
        <f>'Bull Strangle - Option Samurai'!K9</f>
        <v>0.65</v>
      </c>
      <c r="Q9" s="20">
        <v>0.67</v>
      </c>
      <c r="R9" s="20">
        <f>'Bull Strangle - Option Samurai'!M9</f>
        <v>0.66</v>
      </c>
      <c r="S9" s="20">
        <f t="shared" si="4"/>
        <v>-8.9999999999999858E-2</v>
      </c>
      <c r="T9" s="20" t="str">
        <f>'Bull Strangle - Option Samurai'!V9</f>
        <v>2026-05-12</v>
      </c>
      <c r="U9" s="20" t="str">
        <f>'Bull Strangle - Option Samurai'!AD9</f>
        <v>✅ YES</v>
      </c>
    </row>
    <row r="10" spans="1:21" ht="15" customHeight="1" x14ac:dyDescent="0.25">
      <c r="A10" s="12" t="s">
        <v>67</v>
      </c>
      <c r="B10" s="13" t="s">
        <v>101</v>
      </c>
      <c r="C10" s="23">
        <v>68.599999999999994</v>
      </c>
      <c r="D10" s="23">
        <f>'Bull Strangle - Option Samurai'!B10</f>
        <v>74.709999999999994</v>
      </c>
      <c r="E10" s="23">
        <f t="shared" si="0"/>
        <v>6.1099999999999994</v>
      </c>
      <c r="F10" s="23">
        <f t="shared" si="1"/>
        <v>8.9067055393586003E-2</v>
      </c>
      <c r="G10" s="23">
        <v>70</v>
      </c>
      <c r="H10" s="23">
        <f>'Bull Strangle - Option Samurai'!J10</f>
        <v>76</v>
      </c>
      <c r="I10" s="23">
        <f t="shared" si="2"/>
        <v>6</v>
      </c>
      <c r="J10" s="23">
        <v>67</v>
      </c>
      <c r="K10" s="23">
        <f>'Bull Strangle - Option Samurai'!L10</f>
        <v>74</v>
      </c>
      <c r="L10" s="23">
        <f t="shared" si="3"/>
        <v>7</v>
      </c>
      <c r="M10" s="45">
        <v>6.7100000000000007E-2</v>
      </c>
      <c r="N10" s="45">
        <f>'Bull Strangle - Option Samurai'!O10</f>
        <v>5.6886628296078171E-2</v>
      </c>
      <c r="O10" s="23">
        <v>2.2999999999999998</v>
      </c>
      <c r="P10" s="23">
        <f>'Bull Strangle - Option Samurai'!K10</f>
        <v>2.1</v>
      </c>
      <c r="Q10" s="23">
        <v>2.2999999999999998</v>
      </c>
      <c r="R10" s="23">
        <f>'Bull Strangle - Option Samurai'!M10</f>
        <v>2.15</v>
      </c>
      <c r="S10" s="23">
        <f t="shared" si="4"/>
        <v>-0.34999999999999964</v>
      </c>
      <c r="T10" s="23" t="str">
        <f>'Bull Strangle - Option Samurai'!V10</f>
        <v>2026-05-20</v>
      </c>
      <c r="U10" s="23" t="str">
        <f>'Bull Strangle - Option Samurai'!AD10</f>
        <v>🚫 NO</v>
      </c>
    </row>
    <row r="11" spans="1:21" ht="15" customHeight="1" x14ac:dyDescent="0.25">
      <c r="A11" s="16" t="s">
        <v>68</v>
      </c>
      <c r="B11" s="17" t="s">
        <v>106</v>
      </c>
      <c r="C11" s="20">
        <v>75.73</v>
      </c>
      <c r="D11" s="20">
        <f>'Bull Strangle - Option Samurai'!B11</f>
        <v>72.78</v>
      </c>
      <c r="E11" s="20">
        <f t="shared" si="0"/>
        <v>-2.9500000000000028</v>
      </c>
      <c r="F11" s="20">
        <f t="shared" si="1"/>
        <v>-3.8954179321272979E-2</v>
      </c>
      <c r="G11" s="20">
        <v>77</v>
      </c>
      <c r="H11" s="20">
        <f>'Bull Strangle - Option Samurai'!J11</f>
        <v>74</v>
      </c>
      <c r="I11" s="20">
        <f t="shared" si="2"/>
        <v>-3</v>
      </c>
      <c r="J11" s="20">
        <v>74</v>
      </c>
      <c r="K11" s="20">
        <f>'Bull Strangle - Option Samurai'!L11</f>
        <v>72</v>
      </c>
      <c r="L11" s="20">
        <f t="shared" si="3"/>
        <v>-2</v>
      </c>
      <c r="M11" s="46">
        <v>3.9E-2</v>
      </c>
      <c r="N11" s="46">
        <f>'Bull Strangle - Option Samurai'!O11</f>
        <v>4.7403132728771641E-2</v>
      </c>
      <c r="O11" s="20">
        <v>1.5</v>
      </c>
      <c r="P11" s="20">
        <f>'Bull Strangle - Option Samurai'!K11</f>
        <v>1.45</v>
      </c>
      <c r="Q11" s="20">
        <v>1.45</v>
      </c>
      <c r="R11" s="20">
        <f>'Bull Strangle - Option Samurai'!M11</f>
        <v>2</v>
      </c>
      <c r="S11" s="20">
        <f t="shared" si="4"/>
        <v>0.5</v>
      </c>
      <c r="T11" s="20" t="str">
        <f>'Bull Strangle - Option Samurai'!V11</f>
        <v>2026-05-05</v>
      </c>
      <c r="U11" s="20" t="str">
        <f>'Bull Strangle - Option Samurai'!AD11</f>
        <v>🚫 NO</v>
      </c>
    </row>
    <row r="12" spans="1:21" ht="15" customHeight="1" x14ac:dyDescent="0.25">
      <c r="A12" s="12" t="s">
        <v>69</v>
      </c>
      <c r="B12" s="13" t="s">
        <v>108</v>
      </c>
      <c r="C12" s="23">
        <v>13.53</v>
      </c>
      <c r="D12" s="23">
        <f>'Bull Strangle - Option Samurai'!B12</f>
        <v>14.45</v>
      </c>
      <c r="E12" s="23">
        <f t="shared" si="0"/>
        <v>0.91999999999999993</v>
      </c>
      <c r="F12" s="23">
        <f t="shared" si="1"/>
        <v>6.7997043606799701E-2</v>
      </c>
      <c r="G12" s="23">
        <v>14</v>
      </c>
      <c r="H12" s="23">
        <f>'Bull Strangle - Option Samurai'!J12</f>
        <v>14.5</v>
      </c>
      <c r="I12" s="23">
        <f t="shared" si="2"/>
        <v>0.5</v>
      </c>
      <c r="J12" s="23">
        <v>13</v>
      </c>
      <c r="K12" s="23">
        <f>'Bull Strangle - Option Samurai'!L12</f>
        <v>14</v>
      </c>
      <c r="L12" s="23">
        <f t="shared" si="3"/>
        <v>1</v>
      </c>
      <c r="M12" s="45">
        <v>0.1353</v>
      </c>
      <c r="N12" s="45">
        <f>'Bull Strangle - Option Samurai'!O12</f>
        <v>0.11487889273356403</v>
      </c>
      <c r="O12" s="23">
        <v>0.95</v>
      </c>
      <c r="P12" s="23">
        <f>'Bull Strangle - Option Samurai'!K12</f>
        <v>0.93</v>
      </c>
      <c r="Q12" s="23">
        <v>0.88</v>
      </c>
      <c r="R12" s="23">
        <f>'Bull Strangle - Option Samurai'!M12</f>
        <v>0.73</v>
      </c>
      <c r="S12" s="23">
        <f t="shared" si="4"/>
        <v>-0.16999999999999993</v>
      </c>
      <c r="T12" s="23" t="str">
        <f>'Bull Strangle - Option Samurai'!V12</f>
        <v>2026-06-01</v>
      </c>
      <c r="U12" s="23" t="str">
        <f>'Bull Strangle - Option Samurai'!AD12</f>
        <v>🚫 NO</v>
      </c>
    </row>
    <row r="13" spans="1:21" ht="15" customHeight="1" x14ac:dyDescent="0.25">
      <c r="A13" s="16" t="s">
        <v>70</v>
      </c>
      <c r="B13" s="17" t="s">
        <v>110</v>
      </c>
      <c r="C13" s="20">
        <v>60.56</v>
      </c>
      <c r="D13" s="20">
        <f>'Bull Strangle - Option Samurai'!B13</f>
        <v>62.25</v>
      </c>
      <c r="E13" s="20">
        <f t="shared" si="0"/>
        <v>1.6899999999999977</v>
      </c>
      <c r="F13" s="20">
        <f t="shared" si="1"/>
        <v>2.7906208718626119E-2</v>
      </c>
      <c r="G13" s="20">
        <v>61.5</v>
      </c>
      <c r="H13" s="20">
        <f>'Bull Strangle - Option Samurai'!J13</f>
        <v>63</v>
      </c>
      <c r="I13" s="20">
        <f t="shared" si="2"/>
        <v>1.5</v>
      </c>
      <c r="J13" s="20">
        <v>59.5</v>
      </c>
      <c r="K13" s="20">
        <f>'Bull Strangle - Option Samurai'!L13</f>
        <v>61.5</v>
      </c>
      <c r="L13" s="20">
        <f t="shared" si="3"/>
        <v>2</v>
      </c>
      <c r="M13" s="46">
        <v>3.8100000000000002E-2</v>
      </c>
      <c r="N13" s="46">
        <f>'Bull Strangle - Option Samurai'!O13</f>
        <v>1.8152610441767067E-2</v>
      </c>
      <c r="O13" s="20">
        <v>1.19</v>
      </c>
      <c r="P13" s="20">
        <f>'Bull Strangle - Option Samurai'!K13</f>
        <v>0.73</v>
      </c>
      <c r="Q13" s="20">
        <v>1.1200000000000001</v>
      </c>
      <c r="R13" s="20">
        <f>'Bull Strangle - Option Samurai'!M13</f>
        <v>0.4</v>
      </c>
      <c r="S13" s="20">
        <f t="shared" si="4"/>
        <v>-1.1800000000000002</v>
      </c>
      <c r="T13" s="20" t="str">
        <f>'Bull Strangle - Option Samurai'!V13</f>
        <v>N/A</v>
      </c>
      <c r="U13" s="20" t="str">
        <f>'Bull Strangle - Option Samurai'!AD13</f>
        <v>🚫 NO</v>
      </c>
    </row>
    <row r="14" spans="1:21" ht="15" customHeight="1" x14ac:dyDescent="0.25">
      <c r="A14" s="12" t="s">
        <v>71</v>
      </c>
      <c r="B14" s="13" t="s">
        <v>110</v>
      </c>
      <c r="C14" s="23">
        <v>17.05</v>
      </c>
      <c r="D14" s="23">
        <f>'Bull Strangle - Option Samurai'!B14</f>
        <v>17.350000000000001</v>
      </c>
      <c r="E14" s="23">
        <f t="shared" si="0"/>
        <v>0.30000000000000071</v>
      </c>
      <c r="F14" s="23">
        <f t="shared" si="1"/>
        <v>1.7595307917888603E-2</v>
      </c>
      <c r="G14" s="23">
        <v>17.5</v>
      </c>
      <c r="H14" s="23">
        <f>'Bull Strangle - Option Samurai'!J14</f>
        <v>17.5</v>
      </c>
      <c r="I14" s="23">
        <f t="shared" si="2"/>
        <v>0</v>
      </c>
      <c r="J14" s="23">
        <v>16.5</v>
      </c>
      <c r="K14" s="23">
        <f>'Bull Strangle - Option Samurai'!L14</f>
        <v>17</v>
      </c>
      <c r="L14" s="23">
        <f t="shared" si="3"/>
        <v>0.5</v>
      </c>
      <c r="M14" s="45">
        <v>9.74E-2</v>
      </c>
      <c r="N14" s="45">
        <f>'Bull Strangle - Option Samurai'!O14</f>
        <v>9.3371757925072046E-2</v>
      </c>
      <c r="O14" s="23">
        <v>0.82</v>
      </c>
      <c r="P14" s="23">
        <f>'Bull Strangle - Option Samurai'!K14</f>
        <v>0.87</v>
      </c>
      <c r="Q14" s="23">
        <v>0.84</v>
      </c>
      <c r="R14" s="23">
        <f>'Bull Strangle - Option Samurai'!M14</f>
        <v>0.75</v>
      </c>
      <c r="S14" s="23">
        <f t="shared" si="4"/>
        <v>-3.9999999999999813E-2</v>
      </c>
      <c r="T14" s="23" t="str">
        <f>'Bull Strangle - Option Samurai'!V14</f>
        <v>N/A</v>
      </c>
      <c r="U14" s="23" t="str">
        <f>'Bull Strangle - Option Samurai'!AD14</f>
        <v>🚫 NO</v>
      </c>
    </row>
    <row r="15" spans="1:21" ht="15" customHeight="1" x14ac:dyDescent="0.25">
      <c r="A15" s="16" t="s">
        <v>72</v>
      </c>
      <c r="B15" s="17" t="s">
        <v>110</v>
      </c>
      <c r="C15" s="20">
        <v>88.13</v>
      </c>
      <c r="D15" s="20">
        <f>'Bull Strangle - Option Samurai'!B15</f>
        <v>87.14</v>
      </c>
      <c r="E15" s="20">
        <f t="shared" si="0"/>
        <v>-0.98999999999999488</v>
      </c>
      <c r="F15" s="20">
        <f t="shared" si="1"/>
        <v>-1.1233405196868206E-2</v>
      </c>
      <c r="G15" s="20">
        <v>89.5</v>
      </c>
      <c r="H15" s="20">
        <f>'Bull Strangle - Option Samurai'!J15</f>
        <v>88.5</v>
      </c>
      <c r="I15" s="20">
        <f t="shared" si="2"/>
        <v>-1</v>
      </c>
      <c r="J15" s="20">
        <v>86.5</v>
      </c>
      <c r="K15" s="20">
        <f>'Bull Strangle - Option Samurai'!L15</f>
        <v>86</v>
      </c>
      <c r="L15" s="20">
        <f t="shared" si="3"/>
        <v>-0.5</v>
      </c>
      <c r="M15" s="46">
        <v>3.4599999999999999E-2</v>
      </c>
      <c r="N15" s="46">
        <f>'Bull Strangle - Option Samurai'!O15</f>
        <v>2.5820518705531328E-2</v>
      </c>
      <c r="O15" s="20">
        <v>1.6</v>
      </c>
      <c r="P15" s="20">
        <f>'Bull Strangle - Option Samurai'!K15</f>
        <v>1.1000000000000001</v>
      </c>
      <c r="Q15" s="20">
        <v>1.45</v>
      </c>
      <c r="R15" s="20">
        <f>'Bull Strangle - Option Samurai'!M15</f>
        <v>1.1499999999999999</v>
      </c>
      <c r="S15" s="20">
        <f t="shared" si="4"/>
        <v>-0.79999999999999982</v>
      </c>
      <c r="T15" s="20" t="str">
        <f>'Bull Strangle - Option Samurai'!V15</f>
        <v>N/A</v>
      </c>
      <c r="U15" s="20" t="str">
        <f>'Bull Strangle - Option Samurai'!AD15</f>
        <v>🚫 NO</v>
      </c>
    </row>
    <row r="16" spans="1:21" ht="15" customHeight="1" x14ac:dyDescent="0.25">
      <c r="A16" s="12" t="s">
        <v>73</v>
      </c>
      <c r="B16" s="13" t="s">
        <v>110</v>
      </c>
      <c r="C16" s="23">
        <v>41.33</v>
      </c>
      <c r="D16" s="23">
        <f>'Bull Strangle - Option Samurai'!B16</f>
        <v>40.79</v>
      </c>
      <c r="E16" s="23">
        <f t="shared" si="0"/>
        <v>-0.53999999999999915</v>
      </c>
      <c r="F16" s="23">
        <f t="shared" si="1"/>
        <v>-1.3065569804016432E-2</v>
      </c>
      <c r="G16" s="23">
        <v>42</v>
      </c>
      <c r="H16" s="23">
        <f>'Bull Strangle - Option Samurai'!J16</f>
        <v>41.5</v>
      </c>
      <c r="I16" s="23">
        <f t="shared" si="2"/>
        <v>-0.5</v>
      </c>
      <c r="J16" s="23">
        <v>40.5</v>
      </c>
      <c r="K16" s="23">
        <f>'Bull Strangle - Option Samurai'!L16</f>
        <v>40</v>
      </c>
      <c r="L16" s="23">
        <f t="shared" si="3"/>
        <v>-0.5</v>
      </c>
      <c r="M16" s="45">
        <v>4.5999999999999999E-2</v>
      </c>
      <c r="N16" s="45">
        <f>'Bull Strangle - Option Samurai'!O16</f>
        <v>2.4515812699190977E-2</v>
      </c>
      <c r="O16" s="23">
        <v>1.01</v>
      </c>
      <c r="P16" s="23">
        <f>'Bull Strangle - Option Samurai'!K16</f>
        <v>0.6</v>
      </c>
      <c r="Q16" s="23">
        <v>0.89</v>
      </c>
      <c r="R16" s="23">
        <f>'Bull Strangle - Option Samurai'!M16</f>
        <v>0.4</v>
      </c>
      <c r="S16" s="23">
        <f t="shared" si="4"/>
        <v>-0.89999999999999991</v>
      </c>
      <c r="T16" s="23" t="str">
        <f>'Bull Strangle - Option Samurai'!V16</f>
        <v>N/A</v>
      </c>
      <c r="U16" s="23" t="str">
        <f>'Bull Strangle - Option Samurai'!AD16</f>
        <v>✅ YES</v>
      </c>
    </row>
    <row r="17" spans="1:21" ht="15" customHeight="1" x14ac:dyDescent="0.25">
      <c r="A17" s="16" t="s">
        <v>74</v>
      </c>
      <c r="B17" s="17" t="s">
        <v>110</v>
      </c>
      <c r="C17" s="20">
        <v>89.56</v>
      </c>
      <c r="D17" s="20">
        <f>'Bull Strangle - Option Samurai'!B17</f>
        <v>88.04</v>
      </c>
      <c r="E17" s="20">
        <f t="shared" si="0"/>
        <v>-1.519999999999996</v>
      </c>
      <c r="F17" s="20">
        <f t="shared" si="1"/>
        <v>-1.6971862438588611E-2</v>
      </c>
      <c r="G17" s="20">
        <v>91</v>
      </c>
      <c r="H17" s="20">
        <f>'Bull Strangle - Option Samurai'!J17</f>
        <v>89.5</v>
      </c>
      <c r="I17" s="20">
        <f t="shared" si="2"/>
        <v>-1.5</v>
      </c>
      <c r="J17" s="20">
        <v>88</v>
      </c>
      <c r="K17" s="20">
        <f>'Bull Strangle - Option Samurai'!L17</f>
        <v>86.5</v>
      </c>
      <c r="L17" s="20">
        <f t="shared" si="3"/>
        <v>-1.5</v>
      </c>
      <c r="M17" s="46">
        <v>4.0800000000000003E-2</v>
      </c>
      <c r="N17" s="46">
        <f>'Bull Strangle - Option Samurai'!O17</f>
        <v>2.6124488868696043E-2</v>
      </c>
      <c r="O17" s="20">
        <v>1.95</v>
      </c>
      <c r="P17" s="20">
        <f>'Bull Strangle - Option Samurai'!K17</f>
        <v>1.2</v>
      </c>
      <c r="Q17" s="20">
        <v>1.7</v>
      </c>
      <c r="R17" s="20">
        <f>'Bull Strangle - Option Samurai'!M17</f>
        <v>1.1000000000000001</v>
      </c>
      <c r="S17" s="20">
        <f t="shared" si="4"/>
        <v>-1.35</v>
      </c>
      <c r="T17" s="20" t="str">
        <f>'Bull Strangle - Option Samurai'!V17</f>
        <v>N/A</v>
      </c>
      <c r="U17" s="20" t="str">
        <f>'Bull Strangle - Option Samurai'!AD17</f>
        <v>✅ YES</v>
      </c>
    </row>
    <row r="18" spans="1:21" ht="15" customHeight="1" x14ac:dyDescent="0.25">
      <c r="A18" s="12" t="s">
        <v>75</v>
      </c>
      <c r="B18" s="13" t="s">
        <v>110</v>
      </c>
      <c r="C18" s="23">
        <v>41.56</v>
      </c>
      <c r="D18" s="23">
        <f>'Bull Strangle - Option Samurai'!B18</f>
        <v>42.51</v>
      </c>
      <c r="E18" s="23">
        <f t="shared" si="0"/>
        <v>0.94999999999999574</v>
      </c>
      <c r="F18" s="23">
        <f t="shared" si="1"/>
        <v>2.2858517805582186E-2</v>
      </c>
      <c r="G18" s="23">
        <v>42.5</v>
      </c>
      <c r="H18" s="23">
        <f>'Bull Strangle - Option Samurai'!J18</f>
        <v>43</v>
      </c>
      <c r="I18" s="23">
        <f t="shared" si="2"/>
        <v>0.5</v>
      </c>
      <c r="J18" s="23">
        <v>40.5</v>
      </c>
      <c r="K18" s="23">
        <f>'Bull Strangle - Option Samurai'!L18</f>
        <v>42</v>
      </c>
      <c r="L18" s="23">
        <f t="shared" si="3"/>
        <v>1.5</v>
      </c>
      <c r="M18" s="45">
        <v>6.83E-2</v>
      </c>
      <c r="N18" s="45">
        <f>'Bull Strangle - Option Samurai'!O18</f>
        <v>6.3749705951540822E-2</v>
      </c>
      <c r="O18" s="23">
        <v>1.48</v>
      </c>
      <c r="P18" s="23">
        <f>'Bull Strangle - Option Samurai'!K18</f>
        <v>1.54</v>
      </c>
      <c r="Q18" s="23">
        <v>1.36</v>
      </c>
      <c r="R18" s="23">
        <f>'Bull Strangle - Option Samurai'!M18</f>
        <v>1.17</v>
      </c>
      <c r="S18" s="23">
        <f t="shared" si="4"/>
        <v>-0.12999999999999989</v>
      </c>
      <c r="T18" s="23" t="str">
        <f>'Bull Strangle - Option Samurai'!V18</f>
        <v>N/A</v>
      </c>
      <c r="U18" s="23" t="str">
        <f>'Bull Strangle - Option Samurai'!AD18</f>
        <v>🚫 NO</v>
      </c>
    </row>
    <row r="19" spans="1:21" ht="15" customHeight="1" x14ac:dyDescent="0.25">
      <c r="A19" s="16" t="s">
        <v>76</v>
      </c>
      <c r="B19" s="17" t="s">
        <v>110</v>
      </c>
      <c r="C19" s="20">
        <v>68.94</v>
      </c>
      <c r="D19" s="20">
        <f>'Bull Strangle - Option Samurai'!B19</f>
        <v>69.63</v>
      </c>
      <c r="E19" s="20">
        <f t="shared" si="0"/>
        <v>0.68999999999999773</v>
      </c>
      <c r="F19" s="20">
        <f t="shared" si="1"/>
        <v>1.0008703220191439E-2</v>
      </c>
      <c r="G19" s="20">
        <v>70</v>
      </c>
      <c r="H19" s="20">
        <f>'Bull Strangle - Option Samurai'!J19</f>
        <v>71</v>
      </c>
      <c r="I19" s="20">
        <f t="shared" si="2"/>
        <v>1</v>
      </c>
      <c r="J19" s="20">
        <v>67</v>
      </c>
      <c r="K19" s="20">
        <f>'Bull Strangle - Option Samurai'!L19</f>
        <v>68.5</v>
      </c>
      <c r="L19" s="20">
        <f t="shared" si="3"/>
        <v>1.5</v>
      </c>
      <c r="M19" s="46">
        <v>3.4500000000000003E-2</v>
      </c>
      <c r="N19" s="46" t="e">
        <f>'Bull Strangle - Option Samurai'!O19</f>
        <v>#VALUE!</v>
      </c>
      <c r="O19" s="20">
        <v>1.38</v>
      </c>
      <c r="P19" s="20" t="str">
        <f>'Bull Strangle - Option Samurai'!K19</f>
        <v>N/A</v>
      </c>
      <c r="Q19" s="20">
        <v>1</v>
      </c>
      <c r="R19" s="20">
        <f>'Bull Strangle - Option Samurai'!M19</f>
        <v>0.04</v>
      </c>
      <c r="S19" s="20" t="str">
        <f t="shared" si="4"/>
        <v>N/A</v>
      </c>
      <c r="T19" s="20" t="str">
        <f>'Bull Strangle - Option Samurai'!V19</f>
        <v>N/A</v>
      </c>
      <c r="U19" s="20" t="str">
        <f>'Bull Strangle - Option Samurai'!AD19</f>
        <v>✅ YES</v>
      </c>
    </row>
    <row r="20" spans="1:21" ht="15" customHeight="1" x14ac:dyDescent="0.25">
      <c r="A20" s="12" t="s">
        <v>77</v>
      </c>
      <c r="B20" s="13" t="s">
        <v>110</v>
      </c>
      <c r="C20" s="23">
        <v>31.41</v>
      </c>
      <c r="D20" s="23">
        <f>'Bull Strangle - Option Samurai'!B20</f>
        <v>30.55</v>
      </c>
      <c r="E20" s="23">
        <f t="shared" si="0"/>
        <v>-0.85999999999999943</v>
      </c>
      <c r="F20" s="23">
        <f t="shared" si="1"/>
        <v>-2.7379815345431373E-2</v>
      </c>
      <c r="G20" s="23">
        <v>32</v>
      </c>
      <c r="H20" s="23">
        <f>'Bull Strangle - Option Samurai'!J20</f>
        <v>31</v>
      </c>
      <c r="I20" s="23">
        <f t="shared" si="2"/>
        <v>-1</v>
      </c>
      <c r="J20" s="23">
        <v>30.5</v>
      </c>
      <c r="K20" s="23">
        <f>'Bull Strangle - Option Samurai'!L20</f>
        <v>30</v>
      </c>
      <c r="L20" s="23">
        <f t="shared" si="3"/>
        <v>-0.5</v>
      </c>
      <c r="M20" s="45">
        <v>0.10349999999999999</v>
      </c>
      <c r="N20" s="45">
        <f>'Bull Strangle - Option Samurai'!O20</f>
        <v>7.2667757774140737E-2</v>
      </c>
      <c r="O20" s="23">
        <v>1.73</v>
      </c>
      <c r="P20" s="23">
        <f>'Bull Strangle - Option Samurai'!K20</f>
        <v>1.27</v>
      </c>
      <c r="Q20" s="23">
        <v>1.52</v>
      </c>
      <c r="R20" s="23">
        <f>'Bull Strangle - Option Samurai'!M20</f>
        <v>0.95</v>
      </c>
      <c r="S20" s="23">
        <f t="shared" si="4"/>
        <v>-1.0300000000000002</v>
      </c>
      <c r="T20" s="23" t="str">
        <f>'Bull Strangle - Option Samurai'!V20</f>
        <v>N/A</v>
      </c>
      <c r="U20" s="23" t="str">
        <f>'Bull Strangle - Option Samurai'!AD20</f>
        <v>🚫 NO</v>
      </c>
    </row>
    <row r="21" spans="1:21" ht="15" customHeight="1" x14ac:dyDescent="0.25">
      <c r="A21" s="16" t="s">
        <v>78</v>
      </c>
      <c r="B21" s="17" t="s">
        <v>119</v>
      </c>
      <c r="C21" s="20">
        <v>67.819999999999993</v>
      </c>
      <c r="D21" s="20">
        <f>'Bull Strangle - Option Samurai'!B21</f>
        <v>70.22</v>
      </c>
      <c r="E21" s="20">
        <f t="shared" si="0"/>
        <v>2.4000000000000057</v>
      </c>
      <c r="F21" s="20">
        <f t="shared" si="1"/>
        <v>3.5387791212031935E-2</v>
      </c>
      <c r="G21" s="20">
        <v>69</v>
      </c>
      <c r="H21" s="20">
        <f>'Bull Strangle - Option Samurai'!J21</f>
        <v>71</v>
      </c>
      <c r="I21" s="20">
        <f t="shared" si="2"/>
        <v>2</v>
      </c>
      <c r="J21" s="20">
        <v>66</v>
      </c>
      <c r="K21" s="20">
        <f>'Bull Strangle - Option Samurai'!L21</f>
        <v>69</v>
      </c>
      <c r="L21" s="20">
        <f t="shared" si="3"/>
        <v>3</v>
      </c>
      <c r="M21" s="46">
        <v>7.0199999999999999E-2</v>
      </c>
      <c r="N21" s="46">
        <f>'Bull Strangle - Option Samurai'!O21</f>
        <v>6.849900313301055E-2</v>
      </c>
      <c r="O21" s="20">
        <v>2.5099999999999998</v>
      </c>
      <c r="P21" s="20">
        <f>'Bull Strangle - Option Samurai'!K21</f>
        <v>2.56</v>
      </c>
      <c r="Q21" s="20">
        <v>2.25</v>
      </c>
      <c r="R21" s="20">
        <f>'Bull Strangle - Option Samurai'!M21</f>
        <v>2.25</v>
      </c>
      <c r="S21" s="20">
        <f t="shared" si="4"/>
        <v>5.0000000000000711E-2</v>
      </c>
      <c r="T21" s="20" t="str">
        <f>'Bull Strangle - Option Samurai'!V21</f>
        <v>2026-07-09</v>
      </c>
      <c r="U21" s="20" t="str">
        <f>'Bull Strangle - Option Samurai'!AD21</f>
        <v>🚫 NO</v>
      </c>
    </row>
    <row r="22" spans="1:21" ht="15" customHeight="1" x14ac:dyDescent="0.25">
      <c r="A22" s="12" t="s">
        <v>79</v>
      </c>
      <c r="B22" s="13" t="s">
        <v>121</v>
      </c>
      <c r="C22" s="23">
        <v>55.24</v>
      </c>
      <c r="D22" s="23">
        <f>'Bull Strangle - Option Samurai'!B22</f>
        <v>65.760000000000005</v>
      </c>
      <c r="E22" s="23">
        <f t="shared" si="0"/>
        <v>10.520000000000003</v>
      </c>
      <c r="F22" s="23">
        <f t="shared" si="1"/>
        <v>0.19044170890658949</v>
      </c>
      <c r="G22" s="23">
        <v>57</v>
      </c>
      <c r="H22" s="23">
        <f>'Bull Strangle - Option Samurai'!J22</f>
        <v>67</v>
      </c>
      <c r="I22" s="23">
        <f t="shared" si="2"/>
        <v>10</v>
      </c>
      <c r="J22" s="23">
        <v>54</v>
      </c>
      <c r="K22" s="23">
        <f>'Bull Strangle - Option Samurai'!L22</f>
        <v>65</v>
      </c>
      <c r="L22" s="23">
        <f t="shared" si="3"/>
        <v>11</v>
      </c>
      <c r="M22" s="45">
        <v>8.0600000000000005E-2</v>
      </c>
      <c r="N22" s="45">
        <f>'Bull Strangle - Option Samurai'!O22</f>
        <v>0.1094890510948905</v>
      </c>
      <c r="O22" s="23">
        <v>3.45</v>
      </c>
      <c r="P22" s="23">
        <f>'Bull Strangle - Option Samurai'!K22</f>
        <v>3.75</v>
      </c>
      <c r="Q22" s="23">
        <v>1</v>
      </c>
      <c r="R22" s="23">
        <f>'Bull Strangle - Option Samurai'!M22</f>
        <v>3.45</v>
      </c>
      <c r="S22" s="23">
        <f t="shared" si="4"/>
        <v>2.75</v>
      </c>
      <c r="T22" s="23" t="str">
        <f>'Bull Strangle - Option Samurai'!V22</f>
        <v>2026-05-07</v>
      </c>
      <c r="U22" s="23" t="str">
        <f>'Bull Strangle - Option Samurai'!AD22</f>
        <v>🚫 NO</v>
      </c>
    </row>
    <row r="23" spans="1:21" ht="15" customHeight="1" x14ac:dyDescent="0.25">
      <c r="A23" s="16" t="s">
        <v>80</v>
      </c>
      <c r="B23" s="17" t="s">
        <v>123</v>
      </c>
      <c r="C23" s="20">
        <v>82.22</v>
      </c>
      <c r="D23" s="20">
        <f>'Bull Strangle - Option Samurai'!B23</f>
        <v>89.7</v>
      </c>
      <c r="E23" s="20">
        <f t="shared" si="0"/>
        <v>7.480000000000004</v>
      </c>
      <c r="F23" s="20">
        <f t="shared" si="1"/>
        <v>9.0975431768426221E-2</v>
      </c>
      <c r="G23" s="20">
        <v>84</v>
      </c>
      <c r="H23" s="20">
        <f>'Bull Strangle - Option Samurai'!J23</f>
        <v>91</v>
      </c>
      <c r="I23" s="20">
        <f t="shared" si="2"/>
        <v>7</v>
      </c>
      <c r="J23" s="20">
        <v>80</v>
      </c>
      <c r="K23" s="20">
        <f>'Bull Strangle - Option Samurai'!L23</f>
        <v>88</v>
      </c>
      <c r="L23" s="20">
        <f t="shared" si="3"/>
        <v>8</v>
      </c>
      <c r="M23" s="46">
        <v>3.78E-2</v>
      </c>
      <c r="N23" s="46">
        <f>'Bull Strangle - Option Samurai'!O23</f>
        <v>3.6789297658862873E-2</v>
      </c>
      <c r="O23" s="20">
        <v>1.66</v>
      </c>
      <c r="P23" s="20">
        <f>'Bull Strangle - Option Samurai'!K23</f>
        <v>1.79</v>
      </c>
      <c r="Q23" s="20">
        <v>1.45</v>
      </c>
      <c r="R23" s="20">
        <f>'Bull Strangle - Option Samurai'!M23</f>
        <v>1.51</v>
      </c>
      <c r="S23" s="20">
        <f t="shared" si="4"/>
        <v>0.18999999999999995</v>
      </c>
      <c r="T23" s="20" t="str">
        <f>'Bull Strangle - Option Samurai'!V23</f>
        <v>2026-05-13</v>
      </c>
      <c r="U23" s="20" t="str">
        <f>'Bull Strangle - Option Samurai'!AD23</f>
        <v>🚫 NO</v>
      </c>
    </row>
    <row r="24" spans="1:21" ht="15" customHeight="1" x14ac:dyDescent="0.25">
      <c r="A24" s="12" t="s">
        <v>81</v>
      </c>
      <c r="B24" s="13" t="s">
        <v>123</v>
      </c>
      <c r="C24" s="23">
        <v>21.93</v>
      </c>
      <c r="D24" s="23">
        <f>'Bull Strangle - Option Samurai'!B24</f>
        <v>22.5</v>
      </c>
      <c r="E24" s="23">
        <f t="shared" si="0"/>
        <v>0.57000000000000028</v>
      </c>
      <c r="F24" s="23">
        <f t="shared" si="1"/>
        <v>2.5991792065663488E-2</v>
      </c>
      <c r="G24" s="23">
        <v>22.5</v>
      </c>
      <c r="H24" s="23">
        <f>'Bull Strangle - Option Samurai'!J24</f>
        <v>23</v>
      </c>
      <c r="I24" s="23">
        <f t="shared" si="2"/>
        <v>0.5</v>
      </c>
      <c r="J24" s="23">
        <v>21.5</v>
      </c>
      <c r="K24" s="23">
        <f>'Bull Strangle - Option Samurai'!L24</f>
        <v>22</v>
      </c>
      <c r="L24" s="23">
        <f t="shared" si="3"/>
        <v>0.5</v>
      </c>
      <c r="M24" s="45">
        <v>8.2100000000000006E-2</v>
      </c>
      <c r="N24" s="45">
        <f>'Bull Strangle - Option Samurai'!O24</f>
        <v>6.6666666666666666E-2</v>
      </c>
      <c r="O24" s="23">
        <v>0.95</v>
      </c>
      <c r="P24" s="23">
        <f>'Bull Strangle - Option Samurai'!K24</f>
        <v>0.8</v>
      </c>
      <c r="Q24" s="23">
        <v>0.85</v>
      </c>
      <c r="R24" s="23">
        <f>'Bull Strangle - Option Samurai'!M24</f>
        <v>0.7</v>
      </c>
      <c r="S24" s="23">
        <f t="shared" si="4"/>
        <v>-0.29999999999999982</v>
      </c>
      <c r="T24" s="23" t="str">
        <f>'Bull Strangle - Option Samurai'!V24</f>
        <v>2026-05-14</v>
      </c>
      <c r="U24" s="23" t="str">
        <f>'Bull Strangle - Option Samurai'!AD24</f>
        <v>✅ YES</v>
      </c>
    </row>
    <row r="25" spans="1:21" ht="15" customHeight="1" x14ac:dyDescent="0.25">
      <c r="A25" s="16" t="s">
        <v>82</v>
      </c>
      <c r="B25" s="17" t="s">
        <v>123</v>
      </c>
      <c r="C25" s="20">
        <v>33.49</v>
      </c>
      <c r="D25" s="20">
        <f>'Bull Strangle - Option Samurai'!B25</f>
        <v>41.34</v>
      </c>
      <c r="E25" s="20">
        <f t="shared" si="0"/>
        <v>7.8500000000000014</v>
      </c>
      <c r="F25" s="20">
        <f t="shared" si="1"/>
        <v>0.23439832785906242</v>
      </c>
      <c r="G25" s="20">
        <v>34</v>
      </c>
      <c r="H25" s="20">
        <f>'Bull Strangle - Option Samurai'!J25</f>
        <v>42</v>
      </c>
      <c r="I25" s="20">
        <f t="shared" si="2"/>
        <v>8</v>
      </c>
      <c r="J25" s="20">
        <v>32</v>
      </c>
      <c r="K25" s="20">
        <f>'Bull Strangle - Option Samurai'!L25</f>
        <v>41</v>
      </c>
      <c r="L25" s="20">
        <f t="shared" si="3"/>
        <v>9</v>
      </c>
      <c r="M25" s="46">
        <v>0.115</v>
      </c>
      <c r="N25" s="46">
        <f>'Bull Strangle - Option Samurai'!O25</f>
        <v>0.13062409288824384</v>
      </c>
      <c r="O25" s="20">
        <v>2.0499999999999998</v>
      </c>
      <c r="P25" s="20">
        <f>'Bull Strangle - Option Samurai'!K25</f>
        <v>2.65</v>
      </c>
      <c r="Q25" s="20">
        <v>1.8</v>
      </c>
      <c r="R25" s="20">
        <f>'Bull Strangle - Option Samurai'!M25</f>
        <v>2.75</v>
      </c>
      <c r="S25" s="20">
        <f t="shared" si="4"/>
        <v>1.5500000000000007</v>
      </c>
      <c r="T25" s="20" t="str">
        <f>'Bull Strangle - Option Samurai'!V25</f>
        <v>2026-05-07</v>
      </c>
      <c r="U25" s="20" t="str">
        <f>'Bull Strangle - Option Samurai'!AD25</f>
        <v>🚫 NO</v>
      </c>
    </row>
    <row r="28" spans="1:21" ht="20.100000000000001" customHeight="1" x14ac:dyDescent="0.25">
      <c r="A28" s="58" t="s">
        <v>155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</row>
  </sheetData>
  <mergeCells count="10">
    <mergeCell ref="A28:U28"/>
    <mergeCell ref="G4:I4"/>
    <mergeCell ref="J4:L4"/>
    <mergeCell ref="A1:U1"/>
    <mergeCell ref="M4:N4"/>
    <mergeCell ref="O4:S4"/>
    <mergeCell ref="A3:U3"/>
    <mergeCell ref="A4:B4"/>
    <mergeCell ref="A2:U2"/>
    <mergeCell ref="C4:F4"/>
  </mergeCells>
  <conditionalFormatting sqref="F6:F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>
      <selection sqref="A1:G1"/>
    </sheetView>
  </sheetViews>
  <sheetFormatPr defaultRowHeight="15" x14ac:dyDescent="0.25"/>
  <cols>
    <col min="1" max="1" width="12" customWidth="1"/>
    <col min="2" max="2" width="20" customWidth="1"/>
    <col min="3" max="3" width="60" customWidth="1"/>
  </cols>
  <sheetData>
    <row r="1" spans="1:7" ht="21.95" customHeight="1" x14ac:dyDescent="0.25">
      <c r="A1" s="47" t="s">
        <v>156</v>
      </c>
      <c r="B1" s="48"/>
      <c r="C1" s="48"/>
      <c r="D1" s="48"/>
      <c r="E1" s="48"/>
      <c r="F1" s="48"/>
      <c r="G1" s="48"/>
    </row>
    <row r="3" spans="1:7" ht="32.1" customHeight="1" x14ac:dyDescent="0.25">
      <c r="A3" s="1" t="s">
        <v>157</v>
      </c>
      <c r="B3" s="24" t="s">
        <v>158</v>
      </c>
      <c r="C3" s="11" t="s">
        <v>159</v>
      </c>
    </row>
    <row r="4" spans="1:7" ht="32.1" customHeight="1" x14ac:dyDescent="0.25">
      <c r="A4" s="1" t="s">
        <v>160</v>
      </c>
      <c r="B4" s="24" t="s">
        <v>161</v>
      </c>
      <c r="C4" s="25" t="s">
        <v>162</v>
      </c>
    </row>
    <row r="5" spans="1:7" ht="32.1" customHeight="1" x14ac:dyDescent="0.25">
      <c r="A5" s="1" t="s">
        <v>163</v>
      </c>
      <c r="B5" s="24" t="s">
        <v>164</v>
      </c>
      <c r="C5" s="11" t="s">
        <v>165</v>
      </c>
    </row>
    <row r="6" spans="1:7" ht="32.1" customHeight="1" x14ac:dyDescent="0.25">
      <c r="A6" s="1" t="s">
        <v>166</v>
      </c>
      <c r="B6" s="24" t="s">
        <v>167</v>
      </c>
      <c r="C6" s="25" t="s">
        <v>168</v>
      </c>
    </row>
    <row r="7" spans="1:7" ht="32.1" customHeight="1" x14ac:dyDescent="0.25">
      <c r="A7" s="1" t="s">
        <v>169</v>
      </c>
      <c r="B7" s="24" t="s">
        <v>170</v>
      </c>
      <c r="C7" s="11" t="s">
        <v>171</v>
      </c>
    </row>
    <row r="8" spans="1:7" ht="32.1" customHeight="1" x14ac:dyDescent="0.25">
      <c r="A8" s="1" t="s">
        <v>172</v>
      </c>
      <c r="B8" s="24" t="s">
        <v>173</v>
      </c>
      <c r="C8" s="25" t="s">
        <v>174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selection sqref="A1:F1"/>
    </sheetView>
  </sheetViews>
  <sheetFormatPr defaultRowHeight="15" x14ac:dyDescent="0.25"/>
  <cols>
    <col min="1" max="1" width="22" customWidth="1"/>
    <col min="2" max="3" width="45" customWidth="1"/>
    <col min="4" max="4" width="30" customWidth="1"/>
  </cols>
  <sheetData>
    <row r="1" spans="1:6" ht="21.95" customHeight="1" x14ac:dyDescent="0.25">
      <c r="A1" s="47" t="s">
        <v>175</v>
      </c>
      <c r="B1" s="48"/>
      <c r="C1" s="48"/>
      <c r="D1" s="48"/>
      <c r="E1" s="48"/>
      <c r="F1" s="48"/>
    </row>
    <row r="2" spans="1:6" x14ac:dyDescent="0.25">
      <c r="A2" s="26" t="s">
        <v>176</v>
      </c>
      <c r="B2" s="26" t="s">
        <v>177</v>
      </c>
      <c r="C2" s="26" t="s">
        <v>178</v>
      </c>
      <c r="D2" s="26" t="s">
        <v>126</v>
      </c>
    </row>
    <row r="3" spans="1:6" ht="27.95" customHeight="1" x14ac:dyDescent="0.25">
      <c r="A3" s="27" t="s">
        <v>179</v>
      </c>
      <c r="B3" s="28">
        <f>_xldudf_optionsamurai_stock("ROKU","stock_last")</f>
        <v>114.11</v>
      </c>
      <c r="C3" s="29" t="e">
        <f ca="1">stock("ROKU","stock_last")</f>
        <v>#NAME?</v>
      </c>
      <c r="D3" s="28" t="s">
        <v>180</v>
      </c>
    </row>
    <row r="4" spans="1:6" ht="27.95" customHeight="1" x14ac:dyDescent="0.25">
      <c r="A4" s="30" t="s">
        <v>181</v>
      </c>
      <c r="B4" s="21">
        <f>_xldudf_optionsamurai_stock("ROKU","stock_iv")</f>
        <v>0.69799999999999995</v>
      </c>
      <c r="C4" s="31" t="e">
        <f ca="1">stock("ROKU","stock_iv")</f>
        <v>#NAME?</v>
      </c>
      <c r="D4" s="21" t="s">
        <v>182</v>
      </c>
    </row>
    <row r="5" spans="1:6" ht="27.95" customHeight="1" x14ac:dyDescent="0.25">
      <c r="A5" s="27" t="s">
        <v>183</v>
      </c>
      <c r="B5" s="28">
        <f>_xldudf_optionsamurai_option("ROKU","CALL","2026-04-24","1.5%","strike")</f>
        <v>116</v>
      </c>
      <c r="C5" s="29" t="e">
        <f ca="1">option("ROKU","CALL","2026-04-24","1.5%","strike")</f>
        <v>#NAME?</v>
      </c>
      <c r="D5" s="28" t="s">
        <v>184</v>
      </c>
    </row>
    <row r="6" spans="1:6" ht="27.95" customHeight="1" x14ac:dyDescent="0.25">
      <c r="A6" s="30" t="s">
        <v>185</v>
      </c>
      <c r="B6" s="21">
        <f>_xldudf_optionsamurai_option("ROKU","PUT","2026-04-24","-1.5%","strike")</f>
        <v>112</v>
      </c>
      <c r="C6" s="31" t="e">
        <f ca="1">option("ROKU","PUT","2026-04-24","-1.5%","strike")</f>
        <v>#NAME?</v>
      </c>
      <c r="D6" s="21" t="s">
        <v>186</v>
      </c>
    </row>
    <row r="7" spans="1:6" ht="27.95" customHeight="1" x14ac:dyDescent="0.25">
      <c r="A7" s="27" t="s">
        <v>187</v>
      </c>
      <c r="B7" s="28">
        <f>_xldudf_optionsamurai_option("ROKU","CALL","2026-04-24","1.5%","bid")</f>
        <v>1.22</v>
      </c>
      <c r="C7" s="29" t="e">
        <f ca="1">option("ROKU","CALL","2026-04-24","1.5%","bid")</f>
        <v>#NAME?</v>
      </c>
      <c r="D7" s="28" t="s">
        <v>188</v>
      </c>
    </row>
    <row r="8" spans="1:6" ht="27.95" customHeight="1" x14ac:dyDescent="0.25">
      <c r="A8" s="30" t="s">
        <v>189</v>
      </c>
      <c r="B8" s="21">
        <f>_xldudf_optionsamurai_option("ROKU","CALL","2026-04-24","1.5%","delta")</f>
        <v>0.38727099999999998</v>
      </c>
      <c r="C8" s="31" t="e">
        <f ca="1">option("ROKU","CALL","2026-04-24","1.5%","delta")</f>
        <v>#NAME?</v>
      </c>
      <c r="D8" s="21" t="s">
        <v>190</v>
      </c>
    </row>
    <row r="9" spans="1:6" ht="27.95" customHeight="1" x14ac:dyDescent="0.25">
      <c r="A9" s="27" t="s">
        <v>191</v>
      </c>
      <c r="B9" s="28" t="str">
        <f>_xldudf_optionsamurai_stock("ROKU","earnings_date")</f>
        <v>2026-04-30</v>
      </c>
      <c r="C9" s="29" t="e">
        <f ca="1">stock("ROKU","earnings_date")</f>
        <v>#NAME?</v>
      </c>
      <c r="D9" s="28" t="s">
        <v>192</v>
      </c>
    </row>
    <row r="10" spans="1:6" ht="27.95" customHeight="1" x14ac:dyDescent="0.25">
      <c r="A10" s="30" t="s">
        <v>193</v>
      </c>
      <c r="B10" s="21">
        <f>_xldudf_optionsamurai_stock("ROKU","stock_iv_rv_pr")</f>
        <v>0.71031699999999998</v>
      </c>
      <c r="C10" s="31" t="e">
        <f ca="1">stock("ROKU","stock_iv_rv_pr")</f>
        <v>#NAME?</v>
      </c>
      <c r="D10" s="21" t="s">
        <v>194</v>
      </c>
    </row>
    <row r="11" spans="1:6" ht="27.95" customHeight="1" x14ac:dyDescent="0.25">
      <c r="A11" s="27" t="s">
        <v>54</v>
      </c>
      <c r="B11" s="28">
        <f>_xldudf_optionsamurai_stock("ROKU","atr_percent")</f>
        <v>4.1363999999999998E-2</v>
      </c>
      <c r="C11" s="29" t="e">
        <f ca="1">stock("ROKU","atr_percent")</f>
        <v>#NAME?</v>
      </c>
      <c r="D11" s="28" t="s">
        <v>195</v>
      </c>
    </row>
    <row r="12" spans="1:6" ht="27.95" customHeight="1" x14ac:dyDescent="0.25">
      <c r="A12" s="30" t="s">
        <v>196</v>
      </c>
      <c r="B12" s="21">
        <f>_xldudf_optionsamurai_stock("ROKU","short_ratio")</f>
        <v>2.17</v>
      </c>
      <c r="C12" s="31" t="e">
        <f ca="1">stock("ROKU","short_ratio")</f>
        <v>#NAME?</v>
      </c>
      <c r="D12" s="21" t="s">
        <v>197</v>
      </c>
    </row>
    <row r="13" spans="1:6" ht="27.95" customHeight="1" x14ac:dyDescent="0.25">
      <c r="A13" s="27" t="s">
        <v>198</v>
      </c>
      <c r="B13" s="28">
        <f>_xldudf_optionsamurai_option("ROKU","CALL","2026-04-24","120","prob_otm")</f>
        <v>0.806674</v>
      </c>
      <c r="C13" s="29" t="e">
        <f ca="1">option("ROKU","CALL","2026-04-24","120","prob_otm")</f>
        <v>#NAME?</v>
      </c>
      <c r="D13" s="28" t="s">
        <v>199</v>
      </c>
    </row>
  </sheetData>
  <autoFilter ref="A5:N25" xr:uid="{00000000-0009-0000-0000-000006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Bull Strangle - Option Samurai</vt:lpstr>
      <vt:lpstr>Bull Strangle - News Letter</vt:lpstr>
      <vt:lpstr>Bull Strangle - Deviations</vt:lpstr>
      <vt:lpstr>Instructions</vt:lpstr>
      <vt:lpstr>Formula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vajjala</cp:lastModifiedBy>
  <cp:revision>0</cp:revision>
  <dcterms:created xsi:type="dcterms:W3CDTF">2026-03-28T23:52:34Z</dcterms:created>
  <dcterms:modified xsi:type="dcterms:W3CDTF">2026-04-22T12:26:59Z</dcterms:modified>
  <dc:language>en-US</dc:language>
</cp:coreProperties>
</file>